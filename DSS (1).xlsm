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abuyuan\Downloads\"/>
    </mc:Choice>
  </mc:AlternateContent>
  <xr:revisionPtr revIDLastSave="0" documentId="13_ncr:1_{8F9C0BEB-A22A-4ADB-B180-7645DD76E8DD}" xr6:coauthVersionLast="47" xr6:coauthVersionMax="47" xr10:uidLastSave="{00000000-0000-0000-0000-000000000000}"/>
  <bookViews>
    <workbookView xWindow="-120" yWindow="-120" windowWidth="29040" windowHeight="15720" activeTab="3" xr2:uid="{544E4681-173E-494E-8393-01870AE6809A}"/>
  </bookViews>
  <sheets>
    <sheet name="Time Spending Input" sheetId="1" r:id="rId1"/>
    <sheet name="LookupList" sheetId="6" r:id="rId2"/>
    <sheet name="Dashboard" sheetId="7" r:id="rId3"/>
    <sheet name="Kanban" sheetId="8" r:id="rId4"/>
    <sheet name="Output" sheetId="4" r:id="rId5"/>
  </sheets>
  <externalReferences>
    <externalReference r:id="rId6"/>
  </externalReferences>
  <definedNames>
    <definedName name="Slicer_Class">#N/A</definedName>
    <definedName name="Slicer_On_Board">#N/A</definedName>
    <definedName name="Slicer_Priority">#N/A</definedName>
    <definedName name="Slicer_Status">#N/A</definedName>
    <definedName name="Slicer_Task">#N/A</definedName>
    <definedName name="TimeList">LookupList!$A$1:$B$7</definedName>
    <definedName name="TimeSpendingList">#REF!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7" l="1"/>
  <c r="B7" i="7"/>
  <c r="C7" i="7" s="1"/>
  <c r="D7" i="7" s="1"/>
  <c r="E7" i="7" s="1"/>
  <c r="F7" i="7" s="1"/>
  <c r="G7" i="7" s="1"/>
  <c r="H7" i="7" s="1"/>
  <c r="B8" i="7" s="1"/>
  <c r="C8" i="7" s="1"/>
  <c r="D8" i="7" s="1"/>
  <c r="E8" i="7" s="1"/>
  <c r="F8" i="7" s="1"/>
  <c r="G8" i="7" s="1"/>
  <c r="H8" i="7" s="1"/>
  <c r="B9" i="7" s="1"/>
  <c r="C9" i="7" s="1"/>
  <c r="D9" i="7" s="1"/>
  <c r="E9" i="7" s="1"/>
  <c r="F9" i="7" s="1"/>
  <c r="G9" i="7" s="1"/>
  <c r="H9" i="7" s="1"/>
  <c r="B10" i="7" s="1"/>
  <c r="C10" i="7" s="1"/>
  <c r="D10" i="7" s="1"/>
  <c r="E10" i="7" s="1"/>
  <c r="F10" i="7" s="1"/>
  <c r="G10" i="7" s="1"/>
  <c r="H10" i="7" s="1"/>
  <c r="B11" i="7" s="1"/>
  <c r="C11" i="7" s="1"/>
  <c r="D11" i="7" s="1"/>
  <c r="E11" i="7" s="1"/>
  <c r="F11" i="7" s="1"/>
  <c r="G11" i="7" s="1"/>
  <c r="H11" i="7" s="1"/>
  <c r="B12" i="7" s="1"/>
  <c r="C12" i="7" s="1"/>
  <c r="D12" i="7" s="1"/>
  <c r="E12" i="7" s="1"/>
  <c r="F12" i="7" s="1"/>
  <c r="G12" i="7" s="1"/>
  <c r="H12" i="7" s="1"/>
  <c r="B5" i="7"/>
  <c r="B7" i="6"/>
</calcChain>
</file>

<file path=xl/sharedStrings.xml><?xml version="1.0" encoding="utf-8"?>
<sst xmlns="http://schemas.openxmlformats.org/spreadsheetml/2006/main" count="61" uniqueCount="47">
  <si>
    <t>Category</t>
  </si>
  <si>
    <t>Description</t>
  </si>
  <si>
    <t>Note:</t>
  </si>
  <si>
    <t>Input data does not automatically add values from the same categories to the same row</t>
  </si>
  <si>
    <t>Do not write notes/anything else below the table last row, as it is going to disturb the create barchart function</t>
  </si>
  <si>
    <t>Recommended Time Spending/Day</t>
  </si>
  <si>
    <t>Class</t>
  </si>
  <si>
    <t>Note</t>
  </si>
  <si>
    <t>Self - Study</t>
  </si>
  <si>
    <t>If you want to use similar 'concepts' make sure you can justify your values</t>
  </si>
  <si>
    <t>Commute</t>
  </si>
  <si>
    <t>Sleep</t>
  </si>
  <si>
    <t>Entertainment</t>
  </si>
  <si>
    <t>Others</t>
  </si>
  <si>
    <t>Recommended Time/Week Data is pulled from LookupList</t>
  </si>
  <si>
    <t>Create BarChart in 'Output' Sheet does not automatically update when data is changed</t>
  </si>
  <si>
    <t>Category is currently manually added in Userform initialization, perhaps for next time you might want to auto-update it based on what you have in LookupList</t>
  </si>
  <si>
    <t>Graph method does not automatically create title and the appropriate list name</t>
  </si>
  <si>
    <t>Actual Time Spent</t>
  </si>
  <si>
    <t>Recommended Time Spending</t>
  </si>
  <si>
    <t>Values are arbritary. If you want to use a similar 'concept, make sure you can justify your values</t>
  </si>
  <si>
    <t xml:space="preserve"> </t>
  </si>
  <si>
    <t>Year</t>
  </si>
  <si>
    <t>Month</t>
  </si>
  <si>
    <t>S</t>
  </si>
  <si>
    <t>M</t>
  </si>
  <si>
    <t>T</t>
  </si>
  <si>
    <t>W</t>
  </si>
  <si>
    <t>Th</t>
  </si>
  <si>
    <t>F</t>
  </si>
  <si>
    <t>Sa</t>
  </si>
  <si>
    <t>Task</t>
  </si>
  <si>
    <t>On Board</t>
  </si>
  <si>
    <t>Status</t>
  </si>
  <si>
    <t>Homework</t>
  </si>
  <si>
    <t>MSE 121</t>
  </si>
  <si>
    <t>Quiz</t>
  </si>
  <si>
    <t>MATH 135</t>
  </si>
  <si>
    <t>Project</t>
  </si>
  <si>
    <t>SE 212</t>
  </si>
  <si>
    <t>Smucker sucks</t>
  </si>
  <si>
    <t>Smucker is garbage</t>
  </si>
  <si>
    <t>Complete</t>
  </si>
  <si>
    <t>Incomplete</t>
  </si>
  <si>
    <t>Priority</t>
  </si>
  <si>
    <t>Yes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</si>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</sst>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numFmts>
  <fonts count="6" x14ac:knownFonts="1">
    <font>
      <sz val="11"/>
      <color theme="1"/>
      <name val="Calibri"/>
      <family val="2"/>
      <scheme val="minor"/>
    </font>
    <font>
      <b/>
      <sz val="11"/>
      <color theme="1"/>
      <name val="Calibri"/>
      <family val="2"/>
      <scheme val="minor"/>
    </font>
    <font>
      <sz val="11"/>
      <color rgb="FF000000"/>
      <name val="Calibri"/>
      <family val="2"/>
    </font>
    <font>
      <b/>
      <sz val="24"/>
      <color theme="1"/>
      <name val="Calibri"/>
      <family val="2"/>
      <scheme val="minor"/>
    </font>
    <font>
      <b/>
      <sz val="12"/>
      <color theme="1"/>
      <name val="Calibri"/>
      <family val="2"/>
      <scheme val="minor"/>
    </font>
    <font>
      <b/>
      <sz val="11"/>
      <color theme="5" tint="-0.249977111117893"/>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14" fontId="0" fillId="0" borderId="0" xfId="0" applyNumberFormat="1"/>
    <xf numFmtId="0" fontId="4" fillId="0" borderId="1" xfId="0" applyFont="1" applyBorder="1" applyAlignment="1">
      <alignment horizontal="center"/>
    </xf>
    <xf numFmtId="164" fontId="1" fillId="0" borderId="1" xfId="0" applyNumberFormat="1" applyFont="1" applyBorder="1" applyAlignment="1">
      <alignment vertical="top"/>
    </xf>
    <xf numFmtId="164" fontId="5" fillId="0" borderId="1" xfId="0" applyNumberFormat="1" applyFont="1" applyFill="1" applyBorder="1" applyAlignment="1">
      <alignment vertical="top"/>
    </xf>
    <xf numFmtId="0" fontId="3" fillId="2" borderId="1" xfId="0" applyFont="1" applyFill="1" applyBorder="1" applyAlignment="1">
      <alignment horizontal="center"/>
    </xf>
    <xf numFmtId="0" fontId="0" fillId="0" borderId="0" xfId="0" applyAlignment="1">
      <alignment horizontal="center"/>
    </xf>
    <xf numFmtId="0" fontId="0" fillId="3" borderId="0" xfId="0" applyFill="1"/>
  </cellXfs>
  <cellStyles count="1">
    <cellStyle name="Normal" xfId="0" builtinId="0"/>
  </cellStyles>
  <dxfs count="17">
    <dxf>
      <font>
        <color rgb="FF006100"/>
      </font>
      <fill>
        <patternFill>
          <bgColor rgb="FFC6EFCE"/>
        </patternFill>
      </fill>
    </dxf>
    <dxf>
      <font>
        <color rgb="FF9C0006"/>
      </font>
      <fill>
        <patternFill>
          <bgColor rgb="FFFFC7CE"/>
        </patternFill>
      </fill>
    </dxf>
    <dxf>
      <font>
        <color theme="0" tint="-0.34998626667073579"/>
      </font>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2</xdr:row>
          <xdr:rowOff>28575</xdr:rowOff>
        </xdr:from>
        <xdr:to>
          <xdr:col>10</xdr:col>
          <xdr:colOff>47625</xdr:colOff>
          <xdr:row>4</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6</xdr:row>
          <xdr:rowOff>9525</xdr:rowOff>
        </xdr:from>
        <xdr:to>
          <xdr:col>9</xdr:col>
          <xdr:colOff>600075</xdr:colOff>
          <xdr:row>8</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BarChart in Output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0</xdr:colOff>
      <xdr:row>1</xdr:row>
      <xdr:rowOff>1</xdr:rowOff>
    </xdr:from>
    <xdr:to>
      <xdr:col>10</xdr:col>
      <xdr:colOff>0</xdr:colOff>
      <xdr:row>10</xdr:row>
      <xdr:rowOff>0</xdr:rowOff>
    </xdr:to>
    <mc:AlternateContent xmlns:mc="http://schemas.openxmlformats.org/markup-compatibility/2006">
      <mc:Choice xmlns:sle15="http://schemas.microsoft.com/office/drawing/2012/slicer" Requires="sle15">
        <xdr:graphicFrame macro="">
          <xdr:nvGraphicFramePr>
            <xdr:cNvPr id="6" name="Task">
              <a:extLst>
                <a:ext uri="{FF2B5EF4-FFF2-40B4-BE49-F238E27FC236}">
                  <a16:creationId xmlns:a16="http://schemas.microsoft.com/office/drawing/2014/main" id="{5E06711D-8200-4A57-BC1A-3FAC560E8F83}"/>
                </a:ext>
              </a:extLst>
            </xdr:cNvPr>
            <xdr:cNvGraphicFramePr/>
          </xdr:nvGraphicFramePr>
          <xdr:xfrm>
            <a:off x="0" y="0"/>
            <a:ext cx="0" cy="0"/>
          </xdr:xfrm>
          <a:graphic>
            <a:graphicData uri="http://schemas.microsoft.com/office/drawing/2010/slicer">
              <sle:slicer xmlns:sle="http://schemas.microsoft.com/office/drawing/2010/slicer" name="Task"/>
            </a:graphicData>
          </a:graphic>
        </xdr:graphicFrame>
      </mc:Choice>
      <mc:Fallback>
        <xdr:sp macro="" textlink="">
          <xdr:nvSpPr>
            <xdr:cNvPr id="0" name=""/>
            <xdr:cNvSpPr>
              <a:spLocks noTextEdit="1"/>
            </xdr:cNvSpPr>
          </xdr:nvSpPr>
          <xdr:spPr>
            <a:xfrm>
              <a:off x="7648575" y="190501"/>
              <a:ext cx="1562100" cy="171449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0</xdr:colOff>
      <xdr:row>1</xdr:row>
      <xdr:rowOff>1</xdr:rowOff>
    </xdr:from>
    <xdr:to>
      <xdr:col>12</xdr:col>
      <xdr:colOff>0</xdr:colOff>
      <xdr:row>10</xdr:row>
      <xdr:rowOff>0</xdr:rowOff>
    </xdr:to>
    <mc:AlternateContent xmlns:mc="http://schemas.openxmlformats.org/markup-compatibility/2006">
      <mc:Choice xmlns:sle15="http://schemas.microsoft.com/office/drawing/2012/slicer" Requires="sle15">
        <xdr:graphicFrame macro="">
          <xdr:nvGraphicFramePr>
            <xdr:cNvPr id="7" name="Class">
              <a:extLst>
                <a:ext uri="{FF2B5EF4-FFF2-40B4-BE49-F238E27FC236}">
                  <a16:creationId xmlns:a16="http://schemas.microsoft.com/office/drawing/2014/main" id="{D8DD38ED-3255-4733-BFBF-B007B5C0EF8A}"/>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dr:sp macro="" textlink="">
          <xdr:nvSpPr>
            <xdr:cNvPr id="0" name=""/>
            <xdr:cNvSpPr>
              <a:spLocks noTextEdit="1"/>
            </xdr:cNvSpPr>
          </xdr:nvSpPr>
          <xdr:spPr>
            <a:xfrm>
              <a:off x="9210675" y="190501"/>
              <a:ext cx="1562100" cy="171449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0</xdr:colOff>
      <xdr:row>1</xdr:row>
      <xdr:rowOff>1</xdr:rowOff>
    </xdr:from>
    <xdr:to>
      <xdr:col>14</xdr:col>
      <xdr:colOff>0</xdr:colOff>
      <xdr:row>10</xdr:row>
      <xdr:rowOff>0</xdr:rowOff>
    </xdr:to>
    <mc:AlternateContent xmlns:mc="http://schemas.openxmlformats.org/markup-compatibility/2006">
      <mc:Choice xmlns:sle15="http://schemas.microsoft.com/office/drawing/2012/slicer" Requires="sle15">
        <xdr:graphicFrame macro="">
          <xdr:nvGraphicFramePr>
            <xdr:cNvPr id="9" name="On Board">
              <a:extLst>
                <a:ext uri="{FF2B5EF4-FFF2-40B4-BE49-F238E27FC236}">
                  <a16:creationId xmlns:a16="http://schemas.microsoft.com/office/drawing/2014/main" id="{E800BB56-FDE3-4B6D-99BD-A300CD5F1593}"/>
                </a:ext>
              </a:extLst>
            </xdr:cNvPr>
            <xdr:cNvGraphicFramePr/>
          </xdr:nvGraphicFramePr>
          <xdr:xfrm>
            <a:off x="0" y="0"/>
            <a:ext cx="0" cy="0"/>
          </xdr:xfrm>
          <a:graphic>
            <a:graphicData uri="http://schemas.microsoft.com/office/drawing/2010/slicer">
              <sle:slicer xmlns:sle="http://schemas.microsoft.com/office/drawing/2010/slicer" name="On Board"/>
            </a:graphicData>
          </a:graphic>
        </xdr:graphicFrame>
      </mc:Choice>
      <mc:Fallback>
        <xdr:sp macro="" textlink="">
          <xdr:nvSpPr>
            <xdr:cNvPr id="0" name=""/>
            <xdr:cNvSpPr>
              <a:spLocks noTextEdit="1"/>
            </xdr:cNvSpPr>
          </xdr:nvSpPr>
          <xdr:spPr>
            <a:xfrm>
              <a:off x="10772775" y="190501"/>
              <a:ext cx="1562100" cy="171449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0</xdr:colOff>
      <xdr:row>1</xdr:row>
      <xdr:rowOff>0</xdr:rowOff>
    </xdr:from>
    <xdr:to>
      <xdr:col>16</xdr:col>
      <xdr:colOff>0</xdr:colOff>
      <xdr:row>9</xdr:row>
      <xdr:rowOff>190499</xdr:rowOff>
    </xdr:to>
    <mc:AlternateContent xmlns:mc="http://schemas.openxmlformats.org/markup-compatibility/2006">
      <mc:Choice xmlns:sle15="http://schemas.microsoft.com/office/drawing/2012/slicer" Requires="sle15">
        <xdr:graphicFrame macro="">
          <xdr:nvGraphicFramePr>
            <xdr:cNvPr id="10" name="Status">
              <a:extLst>
                <a:ext uri="{FF2B5EF4-FFF2-40B4-BE49-F238E27FC236}">
                  <a16:creationId xmlns:a16="http://schemas.microsoft.com/office/drawing/2014/main" id="{7AF643D7-2E76-45C2-9767-93DD44FC8F47}"/>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12334875" y="190500"/>
              <a:ext cx="1562100" cy="171449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0</xdr:colOff>
      <xdr:row>1</xdr:row>
      <xdr:rowOff>0</xdr:rowOff>
    </xdr:from>
    <xdr:to>
      <xdr:col>18</xdr:col>
      <xdr:colOff>0</xdr:colOff>
      <xdr:row>10</xdr:row>
      <xdr:rowOff>0</xdr:rowOff>
    </xdr:to>
    <mc:AlternateContent xmlns:mc="http://schemas.openxmlformats.org/markup-compatibility/2006">
      <mc:Choice xmlns:sle15="http://schemas.microsoft.com/office/drawing/2012/slicer" Requires="sle15">
        <xdr:graphicFrame macro="">
          <xdr:nvGraphicFramePr>
            <xdr:cNvPr id="11" name="Priority">
              <a:extLst>
                <a:ext uri="{FF2B5EF4-FFF2-40B4-BE49-F238E27FC236}">
                  <a16:creationId xmlns:a16="http://schemas.microsoft.com/office/drawing/2014/main" id="{75CDD654-DB15-4E53-B432-C87118C06BF7}"/>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13896975" y="190500"/>
              <a:ext cx="1562100" cy="1714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 Spending Input"/>
    </sheetNames>
    <sheetDataSet>
      <sheetData sheetId="0"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 xr10:uid="{A7D076C9-B886-4744-99A6-1065CEC24395}" sourceName="Task">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5517F422-F8E1-4DE0-83C1-D4CF95D23655}" sourceName="Class">
  <extLst>
    <x:ext xmlns:x15="http://schemas.microsoft.com/office/spreadsheetml/2010/11/main" uri="{2F2917AC-EB37-4324-AD4E-5DD8C200BD13}">
      <x15:tableSlicerCache tableId="2"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n_Board" xr10:uid="{CFFE3D15-05F9-4FDB-BBBF-FA621D497F07}" sourceName="On Board">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61EFFA1D-27DC-4C49-9098-239BF29DD717}" sourceName="Status">
  <extLst>
    <x:ext xmlns:x15="http://schemas.microsoft.com/office/spreadsheetml/2010/11/main" uri="{2F2917AC-EB37-4324-AD4E-5DD8C200BD13}">
      <x15:tableSlicerCache tableId="2" column="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42D19B1A-AC3D-4993-9E72-E00CBF946860}" sourceName="Priority">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 xr10:uid="{B6542169-821C-4937-A802-0C027AB40A36}" cache="Slicer_Task" caption="Task" style="SlicerStyleOther1" rowHeight="241300"/>
  <slicer name="Class" xr10:uid="{D1865263-0F41-4A0B-8528-A3073AE0CA80}" cache="Slicer_Class" caption="Class" style="SlicerStyleOther1" rowHeight="241300"/>
  <slicer name="On Board" xr10:uid="{1B3DF3AA-B68D-4596-90EE-257E3799E859}" cache="Slicer_On_Board" caption="On Board" style="SlicerStyleOther1" rowHeight="241300"/>
  <slicer name="Status" xr10:uid="{CEECE99A-AC56-4A18-B802-27153A29C434}" cache="Slicer_Status" caption="Status" style="SlicerStyleOther1" rowHeight="241300"/>
  <slicer name="Priority" xr10:uid="{A861324C-6E09-4800-8BEF-5F66CDE94D03}" cache="Slicer_Priority" caption="Priority"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6E1513-7E66-49AD-8E7D-CF3D4F0707B1}" name="Table2" displayName="Table2" ref="B2:G5" totalsRowShown="0">
  <autoFilter ref="B2:G5" xr:uid="{096E1513-7E66-49AD-8E7D-CF3D4F0707B1}"/>
  <tableColumns count="6">
    <tableColumn id="1" xr3:uid="{96830467-002F-4522-9AE2-3E8BC6AC2113}" name="Task"/>
    <tableColumn id="2" xr3:uid="{649CC50A-D8C6-41FE-A372-B982318ED02B}" name="Class"/>
    <tableColumn id="3" xr3:uid="{11D1467B-DA7A-4137-B144-9D19FC4C069A}" name="Description"/>
    <tableColumn id="4" xr3:uid="{0DBE9B81-15C8-4C74-A9A3-CDBDDA848871}" name="On Board" dataDxfId="16"/>
    <tableColumn id="5" xr3:uid="{4DE8EAAF-C4A4-493A-AA74-0E924E159B2B}" name="Status"/>
    <tableColumn id="6" xr3:uid="{CF0744CE-5B29-449A-BD4A-E639804C18E1}" name="Priority" dataDxfId="11"/>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090326-156F-4E33-8161-00115D1E9C54}" name="Table3" displayName="Table3" ref="I12:J14" totalsRowShown="0" headerRowDxfId="4" dataDxfId="3">
  <autoFilter ref="I12:J14" xr:uid="{50090326-156F-4E33-8161-00115D1E9C54}"/>
  <tableColumns count="2">
    <tableColumn id="1" xr3:uid="{3005C169-5A38-48D7-A549-5368B78D2BD8}" name="Status" dataDxfId="6"/>
    <tableColumn id="2" xr3:uid="{3F013B8B-AC06-4A35-A3AC-A3F50DD2E1A2}" name="On Board" dataDxfId="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51D57-6493-4751-81B5-47C2784E4913}">
  <sheetPr codeName="Sheet1"/>
  <dimension ref="A1:N21"/>
  <sheetViews>
    <sheetView workbookViewId="0">
      <selection activeCell="C10" sqref="C10"/>
    </sheetView>
  </sheetViews>
  <sheetFormatPr defaultColWidth="8.85546875" defaultRowHeight="15" x14ac:dyDescent="0.25"/>
  <cols>
    <col min="1" max="1" width="24.42578125" customWidth="1"/>
    <col min="2" max="2" width="20.140625" bestFit="1" customWidth="1"/>
    <col min="3" max="3" width="28.28515625" bestFit="1" customWidth="1"/>
    <col min="4" max="4" width="34.7109375" bestFit="1" customWidth="1"/>
    <col min="5" max="5" width="11.140625" bestFit="1" customWidth="1"/>
  </cols>
  <sheetData>
    <row r="1" spans="1:14" x14ac:dyDescent="0.25">
      <c r="A1" s="1" t="s">
        <v>0</v>
      </c>
      <c r="B1" s="1" t="s">
        <v>18</v>
      </c>
      <c r="C1" s="1" t="s">
        <v>19</v>
      </c>
      <c r="D1" s="1" t="s">
        <v>1</v>
      </c>
      <c r="M1" t="s">
        <v>2</v>
      </c>
      <c r="N1" t="s">
        <v>3</v>
      </c>
    </row>
    <row r="2" spans="1:14" x14ac:dyDescent="0.25">
      <c r="N2" t="s">
        <v>4</v>
      </c>
    </row>
    <row r="4" spans="1:14" x14ac:dyDescent="0.25">
      <c r="E4" s="1"/>
    </row>
    <row r="21" spans="4:4" x14ac:dyDescent="0.25">
      <c r="D21" t="s">
        <v>21</v>
      </c>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7</xdr:col>
                    <xdr:colOff>28575</xdr:colOff>
                    <xdr:row>2</xdr:row>
                    <xdr:rowOff>28575</xdr:rowOff>
                  </from>
                  <to>
                    <xdr:col>10</xdr:col>
                    <xdr:colOff>47625</xdr:colOff>
                    <xdr:row>4</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createClusteredBarChart">
                <anchor moveWithCells="1" sizeWithCells="1">
                  <from>
                    <xdr:col>7</xdr:col>
                    <xdr:colOff>28575</xdr:colOff>
                    <xdr:row>6</xdr:row>
                    <xdr:rowOff>9525</xdr:rowOff>
                  </from>
                  <to>
                    <xdr:col>9</xdr:col>
                    <xdr:colOff>600075</xdr:colOff>
                    <xdr:row>8</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184CF-DDA3-4736-9CC8-B184C6E68FCC}">
  <sheetPr codeName="Sheet6"/>
  <dimension ref="A1:H7"/>
  <sheetViews>
    <sheetView workbookViewId="0"/>
  </sheetViews>
  <sheetFormatPr defaultColWidth="8.85546875" defaultRowHeight="15" x14ac:dyDescent="0.25"/>
  <cols>
    <col min="1" max="1" width="14" bestFit="1" customWidth="1"/>
    <col min="2" max="2" width="32.85546875" bestFit="1" customWidth="1"/>
  </cols>
  <sheetData>
    <row r="1" spans="1:8" x14ac:dyDescent="0.25">
      <c r="A1" s="1" t="s">
        <v>0</v>
      </c>
      <c r="B1" s="1" t="s">
        <v>5</v>
      </c>
    </row>
    <row r="2" spans="1:8" x14ac:dyDescent="0.25">
      <c r="A2" t="s">
        <v>8</v>
      </c>
      <c r="B2">
        <v>5</v>
      </c>
      <c r="G2" t="s">
        <v>7</v>
      </c>
      <c r="H2" t="s">
        <v>20</v>
      </c>
    </row>
    <row r="3" spans="1:8" x14ac:dyDescent="0.25">
      <c r="A3" t="s">
        <v>6</v>
      </c>
      <c r="B3">
        <v>8</v>
      </c>
      <c r="H3" t="s">
        <v>9</v>
      </c>
    </row>
    <row r="4" spans="1:8" x14ac:dyDescent="0.25">
      <c r="A4" t="s">
        <v>10</v>
      </c>
      <c r="B4">
        <v>1</v>
      </c>
    </row>
    <row r="5" spans="1:8" x14ac:dyDescent="0.25">
      <c r="A5" t="s">
        <v>11</v>
      </c>
      <c r="B5">
        <v>8</v>
      </c>
    </row>
    <row r="6" spans="1:8" x14ac:dyDescent="0.25">
      <c r="A6" t="s">
        <v>12</v>
      </c>
      <c r="B6">
        <v>1</v>
      </c>
    </row>
    <row r="7" spans="1:8" x14ac:dyDescent="0.25">
      <c r="A7" t="s">
        <v>13</v>
      </c>
      <c r="B7">
        <f>(24)-SUM(B2:B6)</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EE04B-4DBD-49BB-9222-CEE81DDFC9F8}">
  <sheetPr codeName="Sheet2"/>
  <dimension ref="B2:H12"/>
  <sheetViews>
    <sheetView workbookViewId="0">
      <selection activeCell="C8" sqref="C8"/>
    </sheetView>
  </sheetViews>
  <sheetFormatPr defaultRowHeight="15" x14ac:dyDescent="0.25"/>
  <cols>
    <col min="2" max="8" width="10.42578125" bestFit="1" customWidth="1"/>
  </cols>
  <sheetData>
    <row r="2" spans="2:8" x14ac:dyDescent="0.25">
      <c r="B2" t="s">
        <v>22</v>
      </c>
      <c r="C2">
        <v>2024</v>
      </c>
      <c r="E2" s="2">
        <f>DATE(C2,C3,1)</f>
        <v>45597</v>
      </c>
    </row>
    <row r="3" spans="2:8" x14ac:dyDescent="0.25">
      <c r="B3" t="s">
        <v>23</v>
      </c>
      <c r="C3">
        <v>11</v>
      </c>
    </row>
    <row r="5" spans="2:8" ht="27.75" customHeight="1" x14ac:dyDescent="0.5">
      <c r="B5" s="6" t="str">
        <f>TEXT(DATE(C2,C3,1),"mmmm")&amp;" "&amp;C2</f>
        <v>November 2024</v>
      </c>
      <c r="C5" s="6"/>
      <c r="D5" s="6"/>
      <c r="E5" s="6"/>
      <c r="F5" s="6"/>
      <c r="G5" s="6"/>
      <c r="H5" s="6"/>
    </row>
    <row r="6" spans="2:8" ht="15.75" x14ac:dyDescent="0.25">
      <c r="B6" s="3" t="s">
        <v>24</v>
      </c>
      <c r="C6" s="3" t="s">
        <v>25</v>
      </c>
      <c r="D6" s="3" t="s">
        <v>26</v>
      </c>
      <c r="E6" s="3" t="s">
        <v>27</v>
      </c>
      <c r="F6" s="3" t="s">
        <v>28</v>
      </c>
      <c r="G6" s="3" t="s">
        <v>29</v>
      </c>
      <c r="H6" s="3" t="s">
        <v>30</v>
      </c>
    </row>
    <row r="7" spans="2:8" ht="50.1" customHeight="1" x14ac:dyDescent="0.25">
      <c r="B7" s="5">
        <f>DATE(C2,C3,1)-WEEKDAY(DATE(C2,C3,1),1)+1</f>
        <v>45592</v>
      </c>
      <c r="C7" s="4">
        <f t="shared" ref="C7:H8" si="0">B7+1</f>
        <v>45593</v>
      </c>
      <c r="D7" s="4">
        <f t="shared" si="0"/>
        <v>45594</v>
      </c>
      <c r="E7" s="4">
        <f t="shared" si="0"/>
        <v>45595</v>
      </c>
      <c r="F7" s="4">
        <f t="shared" si="0"/>
        <v>45596</v>
      </c>
      <c r="G7" s="4">
        <f t="shared" si="0"/>
        <v>45597</v>
      </c>
      <c r="H7" s="5">
        <f t="shared" si="0"/>
        <v>45598</v>
      </c>
    </row>
    <row r="8" spans="2:8" ht="50.1" customHeight="1" x14ac:dyDescent="0.25">
      <c r="B8" s="5">
        <f>H7+1</f>
        <v>45599</v>
      </c>
      <c r="C8" s="4">
        <f t="shared" si="0"/>
        <v>45600</v>
      </c>
      <c r="D8" s="4">
        <f t="shared" si="0"/>
        <v>45601</v>
      </c>
      <c r="E8" s="4">
        <f t="shared" si="0"/>
        <v>45602</v>
      </c>
      <c r="F8" s="4">
        <f t="shared" si="0"/>
        <v>45603</v>
      </c>
      <c r="G8" s="4">
        <f t="shared" si="0"/>
        <v>45604</v>
      </c>
      <c r="H8" s="5">
        <f t="shared" si="0"/>
        <v>45605</v>
      </c>
    </row>
    <row r="9" spans="2:8" ht="50.1" customHeight="1" x14ac:dyDescent="0.25">
      <c r="B9" s="5">
        <f>H8+1</f>
        <v>45606</v>
      </c>
      <c r="C9" s="4">
        <f>B9+1</f>
        <v>45607</v>
      </c>
      <c r="D9" s="4">
        <f t="shared" ref="D9:H9" si="1">C9+1</f>
        <v>45608</v>
      </c>
      <c r="E9" s="4">
        <f t="shared" si="1"/>
        <v>45609</v>
      </c>
      <c r="F9" s="4">
        <f t="shared" si="1"/>
        <v>45610</v>
      </c>
      <c r="G9" s="4">
        <f t="shared" si="1"/>
        <v>45611</v>
      </c>
      <c r="H9" s="5">
        <f t="shared" si="1"/>
        <v>45612</v>
      </c>
    </row>
    <row r="10" spans="2:8" ht="50.1" customHeight="1" x14ac:dyDescent="0.25">
      <c r="B10" s="5">
        <f>H9+1</f>
        <v>45613</v>
      </c>
      <c r="C10" s="4">
        <f>B10+1</f>
        <v>45614</v>
      </c>
      <c r="D10" s="4">
        <f t="shared" ref="D10:H10" si="2">C10+1</f>
        <v>45615</v>
      </c>
      <c r="E10" s="4">
        <f t="shared" si="2"/>
        <v>45616</v>
      </c>
      <c r="F10" s="4">
        <f t="shared" si="2"/>
        <v>45617</v>
      </c>
      <c r="G10" s="4">
        <f t="shared" si="2"/>
        <v>45618</v>
      </c>
      <c r="H10" s="5">
        <f t="shared" si="2"/>
        <v>45619</v>
      </c>
    </row>
    <row r="11" spans="2:8" ht="50.1" customHeight="1" x14ac:dyDescent="0.25">
      <c r="B11" s="5">
        <f>H10+1</f>
        <v>45620</v>
      </c>
      <c r="C11" s="4">
        <f>B11+1</f>
        <v>45621</v>
      </c>
      <c r="D11" s="4">
        <f t="shared" ref="D11:H11" si="3">C11+1</f>
        <v>45622</v>
      </c>
      <c r="E11" s="4">
        <f t="shared" si="3"/>
        <v>45623</v>
      </c>
      <c r="F11" s="4">
        <f t="shared" si="3"/>
        <v>45624</v>
      </c>
      <c r="G11" s="4">
        <f t="shared" si="3"/>
        <v>45625</v>
      </c>
      <c r="H11" s="5">
        <f t="shared" si="3"/>
        <v>45626</v>
      </c>
    </row>
    <row r="12" spans="2:8" ht="50.1" customHeight="1" x14ac:dyDescent="0.25">
      <c r="B12" s="5">
        <f>H11+1</f>
        <v>45627</v>
      </c>
      <c r="C12" s="4">
        <f>B12+1</f>
        <v>45628</v>
      </c>
      <c r="D12" s="4">
        <f t="shared" ref="D12:H12" si="4">C12+1</f>
        <v>45629</v>
      </c>
      <c r="E12" s="4">
        <f t="shared" si="4"/>
        <v>45630</v>
      </c>
      <c r="F12" s="4">
        <f t="shared" si="4"/>
        <v>45631</v>
      </c>
      <c r="G12" s="4">
        <f t="shared" si="4"/>
        <v>45632</v>
      </c>
      <c r="H12" s="5">
        <f t="shared" si="4"/>
        <v>45633</v>
      </c>
    </row>
  </sheetData>
  <mergeCells count="1">
    <mergeCell ref="B5:H5"/>
  </mergeCells>
  <conditionalFormatting sqref="B7:H12">
    <cfRule type="expression" dxfId="2" priority="1">
      <formula>MONTH(B7)&lt;&gt;$C$3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0FB6-C0CD-47DE-97CB-B60FD66E9F65}">
  <sheetPr codeName="Sheet3"/>
  <dimension ref="B2:J14"/>
  <sheetViews>
    <sheetView tabSelected="1" workbookViewId="0">
      <selection activeCell="Q16" sqref="Q16"/>
    </sheetView>
  </sheetViews>
  <sheetFormatPr defaultColWidth="11.7109375" defaultRowHeight="15" x14ac:dyDescent="0.25"/>
  <cols>
    <col min="1" max="1" width="5.7109375" customWidth="1"/>
    <col min="2" max="4" width="20.7109375" customWidth="1"/>
  </cols>
  <sheetData>
    <row r="2" spans="2:10" x14ac:dyDescent="0.25">
      <c r="B2" t="s">
        <v>31</v>
      </c>
      <c r="C2" t="s">
        <v>6</v>
      </c>
      <c r="D2" t="s">
        <v>1</v>
      </c>
      <c r="E2" t="s">
        <v>32</v>
      </c>
      <c r="F2" t="s">
        <v>33</v>
      </c>
      <c r="G2" t="s">
        <v>44</v>
      </c>
    </row>
    <row r="3" spans="2:10" x14ac:dyDescent="0.25">
      <c r="B3" t="s">
        <v>34</v>
      </c>
      <c r="C3" t="s">
        <v>35</v>
      </c>
      <c r="D3" t="s">
        <v>40</v>
      </c>
      <c r="E3" s="7" t="s">
        <v>46</v>
      </c>
      <c r="F3" t="s">
        <v>43</v>
      </c>
      <c r="G3">
        <v>1</v>
      </c>
    </row>
    <row r="4" spans="2:10" x14ac:dyDescent="0.25">
      <c r="B4" t="s">
        <v>36</v>
      </c>
      <c r="C4" t="s">
        <v>37</v>
      </c>
      <c r="D4" t="s">
        <v>40</v>
      </c>
      <c r="E4" s="7" t="s">
        <v>45</v>
      </c>
      <c r="F4" t="s">
        <v>42</v>
      </c>
      <c r="G4">
        <v>5</v>
      </c>
    </row>
    <row r="5" spans="2:10" x14ac:dyDescent="0.25">
      <c r="B5" t="s">
        <v>38</v>
      </c>
      <c r="C5" t="s">
        <v>39</v>
      </c>
      <c r="D5" t="s">
        <v>41</v>
      </c>
      <c r="E5" s="7" t="s">
        <v>46</v>
      </c>
      <c r="F5" t="s">
        <v>42</v>
      </c>
      <c r="G5">
        <v>10</v>
      </c>
    </row>
    <row r="6" spans="2:10" x14ac:dyDescent="0.25">
      <c r="E6" s="7"/>
    </row>
    <row r="7" spans="2:10" x14ac:dyDescent="0.25">
      <c r="E7" s="7"/>
    </row>
    <row r="8" spans="2:10" x14ac:dyDescent="0.25">
      <c r="E8" s="7"/>
    </row>
    <row r="9" spans="2:10" x14ac:dyDescent="0.25">
      <c r="E9" s="7"/>
    </row>
    <row r="10" spans="2:10" x14ac:dyDescent="0.25">
      <c r="E10" s="7"/>
    </row>
    <row r="11" spans="2:10" x14ac:dyDescent="0.25">
      <c r="E11" s="7"/>
    </row>
    <row r="12" spans="2:10" x14ac:dyDescent="0.25">
      <c r="E12" s="7"/>
      <c r="I12" s="8" t="s">
        <v>33</v>
      </c>
      <c r="J12" s="8" t="s">
        <v>32</v>
      </c>
    </row>
    <row r="13" spans="2:10" x14ac:dyDescent="0.25">
      <c r="I13" s="8" t="s">
        <v>42</v>
      </c>
      <c r="J13" s="8" t="s">
        <v>45</v>
      </c>
    </row>
    <row r="14" spans="2:10" x14ac:dyDescent="0.25">
      <c r="I14" s="8" t="s">
        <v>43</v>
      </c>
      <c r="J14" s="8" t="s">
        <v>46</v>
      </c>
    </row>
  </sheetData>
  <conditionalFormatting sqref="F2:G5">
    <cfRule type="beginsWith" dxfId="1" priority="5" operator="beginsWith" text="Incomplete">
      <formula>LEFT(F2,LEN("Incomplete"))="Incomplete"</formula>
    </cfRule>
    <cfRule type="beginsWith" dxfId="0" priority="7" operator="beginsWith" text="Complete">
      <formula>LEFT(F2,LEN("Complete"))="Complete"</formula>
    </cfRule>
  </conditionalFormatting>
  <conditionalFormatting sqref="G3:G5">
    <cfRule type="colorScale" priority="1">
      <colorScale>
        <cfvo type="percent" val="0"/>
        <cfvo type="percent" val="50"/>
        <cfvo type="percent" val="100"/>
        <color rgb="FF63BE7B"/>
        <color rgb="FFFFEB84"/>
        <color rgb="FFF8696B"/>
      </colorScale>
    </cfRule>
  </conditionalFormatting>
  <conditionalFormatting sqref="G2:G5">
    <cfRule type="colorScale" priority="2">
      <colorScale>
        <cfvo type="min"/>
        <cfvo type="percentile" val="50"/>
        <cfvo type="max"/>
        <color rgb="FFF8696B"/>
        <color rgb="FFFFEB84"/>
        <color rgb="FF63BE7B"/>
      </colorScale>
    </cfRule>
  </conditionalFormatting>
  <dataValidations count="3">
    <dataValidation type="list" allowBlank="1" showInputMessage="1" showErrorMessage="1" sqref="F3:F5" xr:uid="{80BB9CB7-6865-4924-B136-263B2F291683}">
      <formula1>$I$13:$I$14</formula1>
    </dataValidation>
    <dataValidation type="list" allowBlank="1" showInputMessage="1" showErrorMessage="1" sqref="E3:E5" xr:uid="{39FA67E0-04FB-449E-8385-0DACCEEA2044}">
      <formula1>$J$13:$J$14</formula1>
    </dataValidation>
    <dataValidation type="whole" allowBlank="1" showInputMessage="1" showErrorMessage="1" errorTitle="Invalid Input" error="Please input a valid whole number between 1 and 10 (inclusive)." sqref="G3:G5" xr:uid="{60FB9A2F-8262-4EF0-8131-E171227180F1}">
      <formula1>1</formula1>
      <formula2>10</formula2>
    </dataValidation>
  </dataValidations>
  <pageMargins left="0.7" right="0.7" top="0.75" bottom="0.75" header="0.3" footer="0.3"/>
  <pageSetup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482CD-AF01-42FD-B1E9-3777E33C5274}">
  <sheetPr codeName="Sheet4"/>
  <dimension ref="B21:J29"/>
  <sheetViews>
    <sheetView workbookViewId="0">
      <selection activeCell="K21" sqref="K21"/>
    </sheetView>
  </sheetViews>
  <sheetFormatPr defaultColWidth="8.85546875" defaultRowHeight="15" x14ac:dyDescent="0.25"/>
  <sheetData>
    <row r="21" spans="2:10" x14ac:dyDescent="0.25">
      <c r="J21" t="s">
        <v>21</v>
      </c>
    </row>
    <row r="26" spans="2:10" x14ac:dyDescent="0.25">
      <c r="B26" s="1" t="s">
        <v>7</v>
      </c>
      <c r="C26" t="s">
        <v>14</v>
      </c>
    </row>
    <row r="27" spans="2:10" x14ac:dyDescent="0.25">
      <c r="C27" t="s">
        <v>15</v>
      </c>
    </row>
    <row r="28" spans="2:10" x14ac:dyDescent="0.25">
      <c r="C28" t="s">
        <v>16</v>
      </c>
    </row>
    <row r="29" spans="2:10" x14ac:dyDescent="0.25">
      <c r="C29" t="s">
        <v>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405EFFFDA9C644486FCCB58A8EA5354" ma:contentTypeVersion="10" ma:contentTypeDescription="Create a new document." ma:contentTypeScope="" ma:versionID="e27858f8a0408ae4ffb6ee96cf8a22bd">
  <xsd:schema xmlns:xsd="http://www.w3.org/2001/XMLSchema" xmlns:xs="http://www.w3.org/2001/XMLSchema" xmlns:p="http://schemas.microsoft.com/office/2006/metadata/properties" xmlns:ns2="9ad7a586-468b-408f-bee0-f7f70b225374" targetNamespace="http://schemas.microsoft.com/office/2006/metadata/properties" ma:root="true" ma:fieldsID="ebfca3b52ef0bbda068d087c0f624027" ns2:_="">
    <xsd:import namespace="9ad7a586-468b-408f-bee0-f7f70b22537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ad7a586-468b-408f-bee0-f7f70b2253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288FEB-94BA-4977-82AB-68C7BFC6BB0B}">
  <ds:schemaRefs>
    <ds:schemaRef ds:uri="http://schemas.openxmlformats.org/package/2006/metadata/core-properties"/>
    <ds:schemaRef ds:uri="http://schemas.microsoft.com/office/2006/documentManagement/types"/>
    <ds:schemaRef ds:uri="http://schemas.microsoft.com/office/infopath/2007/PartnerControls"/>
    <ds:schemaRef ds:uri="http://purl.org/dc/terms/"/>
    <ds:schemaRef ds:uri="http://www.w3.org/XML/1998/namespace"/>
    <ds:schemaRef ds:uri="9ad7a586-468b-408f-bee0-f7f70b225374"/>
    <ds:schemaRef ds:uri="http://schemas.microsoft.com/office/2006/metadata/properties"/>
    <ds:schemaRef ds:uri="http://purl.org/dc/dcmitype/"/>
    <ds:schemaRef ds:uri="http://purl.org/dc/elements/1.1/"/>
  </ds:schemaRefs>
</ds:datastoreItem>
</file>

<file path=customXml/itemProps2.xml><?xml version="1.0" encoding="utf-8"?>
<ds:datastoreItem xmlns:ds="http://schemas.openxmlformats.org/officeDocument/2006/customXml" ds:itemID="{36A186FE-696F-4472-83A7-0D162CAD43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ad7a586-468b-408f-bee0-f7f70b2253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4D9AE93-A613-477E-ABBD-50BC73D3B2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 Spending Input</vt:lpstr>
      <vt:lpstr>LookupList</vt:lpstr>
      <vt:lpstr>Dashboard</vt:lpstr>
      <vt:lpstr>Kanban</vt:lpstr>
      <vt:lpstr>Output</vt:lpstr>
      <vt:lpstr>TimeList</vt:lpstr>
    </vt:vector>
  </TitlesOfParts>
  <Manager/>
  <Company>University of Waterloo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Cuthbert Liaw</dc:creator>
  <cp:keywords/>
  <dc:description/>
  <cp:lastModifiedBy>Justin Abuyuan</cp:lastModifiedBy>
  <cp:revision/>
  <dcterms:created xsi:type="dcterms:W3CDTF">2021-10-26T04:32:41Z</dcterms:created>
  <dcterms:modified xsi:type="dcterms:W3CDTF">2024-11-15T01:09:15Z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0x010100A405EFFFDA9C644486FCCB58A8EA5354</vt:lpwstr>
  </property>
</Properties>
</file>