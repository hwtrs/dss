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pice\OneDrive\Documents\GitHub\dss\"/>
    </mc:Choice>
  </mc:AlternateContent>
  <xr:revisionPtr revIDLastSave="0" documentId="13_ncr:1_{BEA5C28C-6DA6-4BAE-ABA1-06E1B5969AEC}" xr6:coauthVersionLast="47" xr6:coauthVersionMax="47" xr10:uidLastSave="{00000000-0000-0000-0000-000000000000}"/>
  <bookViews>
    <workbookView xWindow="-120" yWindow="-120" windowWidth="29040" windowHeight="15720" activeTab="2" xr2:uid="{544E4681-173E-494E-8393-01870AE6809A}"/>
  </bookViews>
  <sheets>
    <sheet name="Time Spending Input" sheetId="1" r:id="rId1"/>
    <sheet name="DashBoard " sheetId="7" r:id="rId2"/>
    <sheet name="Preferences" sheetId="8" r:id="rId3"/>
    <sheet name="Events" sheetId="9" r:id="rId4"/>
    <sheet name="LookupList" sheetId="6" r:id="rId5"/>
    <sheet name="Output" sheetId="4" r:id="rId6"/>
  </sheets>
  <definedNames>
    <definedName name="TimeList">LookupList!$A$1:$B$7</definedName>
    <definedName name="TimeSpendingLis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7" l="1"/>
  <c r="C7" i="7" s="1"/>
  <c r="D7" i="7" s="1"/>
  <c r="E7" i="7" s="1"/>
  <c r="F7" i="7" s="1"/>
  <c r="G7" i="7" s="1"/>
  <c r="H7" i="7" s="1"/>
  <c r="B5" i="7"/>
  <c r="E2" i="7"/>
  <c r="B7" i="6"/>
  <c r="B8" i="7" l="1"/>
  <c r="C8" i="7" s="1"/>
  <c r="D8" i="7" s="1"/>
  <c r="E8" i="7" s="1"/>
  <c r="F8" i="7" s="1"/>
  <c r="G8" i="7" s="1"/>
  <c r="H8" i="7" s="1"/>
  <c r="B9" i="7" s="1"/>
  <c r="C9" i="7" s="1"/>
  <c r="D9" i="7" s="1"/>
  <c r="E9" i="7" s="1"/>
  <c r="F9" i="7" s="1"/>
  <c r="G9" i="7" s="1"/>
  <c r="H9" i="7" s="1"/>
  <c r="B10" i="7" s="1"/>
  <c r="C10" i="7" s="1"/>
  <c r="D10" i="7" s="1"/>
  <c r="E10" i="7" s="1"/>
  <c r="F10" i="7" s="1"/>
  <c r="G10" i="7" s="1"/>
  <c r="H10" i="7" s="1"/>
  <c r="B11" i="7" s="1"/>
  <c r="C11" i="7" s="1"/>
  <c r="D11" i="7" s="1"/>
  <c r="E11" i="7" s="1"/>
  <c r="F11" i="7" s="1"/>
  <c r="G11" i="7" s="1"/>
  <c r="H11" i="7" s="1"/>
  <c r="B12" i="7" s="1"/>
  <c r="C12" i="7" s="1"/>
  <c r="D12" i="7" s="1"/>
  <c r="E12" i="7" s="1"/>
  <c r="F12" i="7" s="1"/>
  <c r="G12" i="7" s="1"/>
  <c r="H12" i="7" s="1"/>
</calcChain>
</file>

<file path=xl/sharedStrings.xml><?xml version="1.0" encoding="utf-8"?>
<sst xmlns="http://schemas.openxmlformats.org/spreadsheetml/2006/main" count="55" uniqueCount="46">
  <si>
    <t>Category</t>
  </si>
  <si>
    <t>Description</t>
  </si>
  <si>
    <t>Note:</t>
  </si>
  <si>
    <t>Input data does not automatically add values from the same categories to the same row</t>
  </si>
  <si>
    <t>Do not write notes/anything else below the table last row, as it is going to disturb the create barchart function</t>
  </si>
  <si>
    <t>Recommended Time Spending/Day</t>
  </si>
  <si>
    <t>Class</t>
  </si>
  <si>
    <t>Note</t>
  </si>
  <si>
    <t>Self - Study</t>
  </si>
  <si>
    <t>If you want to use similar 'concepts' make sure you can justify your values</t>
  </si>
  <si>
    <t>Commute</t>
  </si>
  <si>
    <t>Sleep</t>
  </si>
  <si>
    <t>Entertainment</t>
  </si>
  <si>
    <t>Others</t>
  </si>
  <si>
    <t>Recommended Time/Week Data is pulled from LookupList</t>
  </si>
  <si>
    <t>Create BarChart in 'Output' Sheet does not automatically update when data is changed</t>
  </si>
  <si>
    <t>Category is currently manually added in Userform initialization, perhaps for next time you might want to auto-update it based on what you have in LookupList</t>
  </si>
  <si>
    <t>Graph method does not automatically create title and the appropriate list name</t>
  </si>
  <si>
    <t>Actual Time Spent</t>
  </si>
  <si>
    <t>Recommended Time Spending</t>
  </si>
  <si>
    <t>Values are arbritary. If you want to use a similar 'concept, make sure you can justify your values</t>
  </si>
  <si>
    <t xml:space="preserve"> </t>
  </si>
  <si>
    <t>Year</t>
  </si>
  <si>
    <t>Month</t>
  </si>
  <si>
    <t>S</t>
  </si>
  <si>
    <t>M</t>
  </si>
  <si>
    <t>T</t>
  </si>
  <si>
    <t>W</t>
  </si>
  <si>
    <t>Th</t>
  </si>
  <si>
    <t>F</t>
  </si>
  <si>
    <t>Sa</t>
  </si>
  <si>
    <t>Info</t>
  </si>
  <si>
    <t>Length (Hours)</t>
  </si>
  <si>
    <t>Time (Hours/Day)</t>
  </si>
  <si>
    <t xml:space="preserve">Min Study Session Length </t>
  </si>
  <si>
    <t>Badminton</t>
  </si>
  <si>
    <t>Max Study Session Length</t>
  </si>
  <si>
    <t>Transportation</t>
  </si>
  <si>
    <t>Ideal Break Length</t>
  </si>
  <si>
    <t>I skipped MSE100</t>
  </si>
  <si>
    <t>Event</t>
  </si>
  <si>
    <t>Recurring</t>
  </si>
  <si>
    <t>Start Time</t>
  </si>
  <si>
    <t>Start Date</t>
  </si>
  <si>
    <t>Baby Sitting</t>
  </si>
  <si>
    <t>2024-13-15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</si>
</sst>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"/>
    <numFmt numFmtId="165" formatCode="yyyy\-mm\-dd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14" fontId="0" fillId="0" borderId="0" xfId="0" applyNumberFormat="1"/>
    <xf numFmtId="0" fontId="3" fillId="0" borderId="1" xfId="0" applyFont="1" applyBorder="1" applyAlignment="1">
      <alignment horizontal="center"/>
    </xf>
    <xf numFmtId="164" fontId="1" fillId="0" borderId="1" xfId="0" applyNumberFormat="1" applyFont="1" applyBorder="1" applyAlignment="1">
      <alignment vertical="top"/>
    </xf>
    <xf numFmtId="164" fontId="4" fillId="0" borderId="1" xfId="0" applyNumberFormat="1" applyFont="1" applyBorder="1" applyAlignment="1">
      <alignment vertical="top"/>
    </xf>
    <xf numFmtId="0" fontId="5" fillId="0" borderId="0" xfId="0" applyFont="1"/>
    <xf numFmtId="0" fontId="5" fillId="3" borderId="0" xfId="0" applyFont="1" applyFill="1"/>
    <xf numFmtId="20" fontId="0" fillId="0" borderId="0" xfId="0" applyNumberFormat="1"/>
    <xf numFmtId="165" fontId="0" fillId="0" borderId="0" xfId="0" applyNumberFormat="1"/>
    <xf numFmtId="0" fontId="2" fillId="2" borderId="1" xfId="0" applyFont="1" applyFill="1" applyBorder="1" applyAlignment="1">
      <alignment horizontal="center"/>
    </xf>
  </cellXfs>
  <cellStyles count="1">
    <cellStyle name="Normal" xfId="0" builtinId="0"/>
  </cellStyles>
  <dxfs count="1">
    <dxf>
      <font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2</xdr:row>
          <xdr:rowOff>28575</xdr:rowOff>
        </xdr:from>
        <xdr:to>
          <xdr:col>10</xdr:col>
          <xdr:colOff>47625</xdr:colOff>
          <xdr:row>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Input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9525</xdr:rowOff>
        </xdr:from>
        <xdr:to>
          <xdr:col>9</xdr:col>
          <xdr:colOff>600075</xdr:colOff>
          <xdr:row>8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BarChart in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6</xdr:row>
      <xdr:rowOff>180975</xdr:rowOff>
    </xdr:from>
    <xdr:to>
      <xdr:col>1</xdr:col>
      <xdr:colOff>695324</xdr:colOff>
      <xdr:row>6</xdr:row>
      <xdr:rowOff>609600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28649" y="1495425"/>
          <a:ext cx="676275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CA" sz="9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9525</xdr:colOff>
      <xdr:row>6</xdr:row>
      <xdr:rowOff>190500</xdr:rowOff>
    </xdr:from>
    <xdr:to>
      <xdr:col>4</xdr:col>
      <xdr:colOff>0</xdr:colOff>
      <xdr:row>7</xdr:row>
      <xdr:rowOff>9525</xdr:rowOff>
    </xdr:to>
    <xdr:sp macro="" textlink="$C$2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009775" y="1504950"/>
          <a:ext cx="685800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E0AC6FE-0A43-473C-9FE6-7038E0DD4D4C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2024</a:t>
          </a:fld>
          <a:endParaRPr lang="en-CA" sz="9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9524</xdr:colOff>
      <xdr:row>6</xdr:row>
      <xdr:rowOff>180975</xdr:rowOff>
    </xdr:from>
    <xdr:to>
      <xdr:col>5</xdr:col>
      <xdr:colOff>9524</xdr:colOff>
      <xdr:row>7</xdr:row>
      <xdr:rowOff>0</xdr:rowOff>
    </xdr:to>
    <xdr:sp macro="" textlink="$E$2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2705099" y="1495425"/>
          <a:ext cx="695325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BF81B33-69CF-44C7-AD68-992CBC9CD92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2024-06-01</a:t>
          </a:fld>
          <a:endParaRPr lang="en-CA" sz="9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9524</xdr:colOff>
      <xdr:row>6</xdr:row>
      <xdr:rowOff>200025</xdr:rowOff>
    </xdr:from>
    <xdr:to>
      <xdr:col>5</xdr:col>
      <xdr:colOff>685799</xdr:colOff>
      <xdr:row>6</xdr:row>
      <xdr:rowOff>619124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3400424" y="1514475"/>
          <a:ext cx="676275" cy="4190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CA" sz="9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19049</xdr:colOff>
      <xdr:row>6</xdr:row>
      <xdr:rowOff>161925</xdr:rowOff>
    </xdr:from>
    <xdr:to>
      <xdr:col>6</xdr:col>
      <xdr:colOff>19049</xdr:colOff>
      <xdr:row>6</xdr:row>
      <xdr:rowOff>590550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8820149" y="1476375"/>
          <a:ext cx="2047875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900">
              <a:latin typeface="Times New Roman" panose="02020603050405020304" pitchFamily="18" charset="0"/>
              <a:cs typeface="Times New Roman" panose="02020603050405020304" pitchFamily="18" charset="0"/>
            </a:rPr>
            <a:t>kjkjjk</a:t>
          </a:r>
        </a:p>
      </xdr:txBody>
    </xdr:sp>
    <xdr:clientData/>
  </xdr:twoCellAnchor>
  <xdr:twoCellAnchor>
    <xdr:from>
      <xdr:col>1</xdr:col>
      <xdr:colOff>0</xdr:colOff>
      <xdr:row>7</xdr:row>
      <xdr:rowOff>200025</xdr:rowOff>
    </xdr:from>
    <xdr:to>
      <xdr:col>2</xdr:col>
      <xdr:colOff>0</xdr:colOff>
      <xdr:row>8</xdr:row>
      <xdr:rowOff>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609600" y="2143125"/>
          <a:ext cx="695325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900">
              <a:latin typeface="Times New Roman" panose="02020603050405020304" pitchFamily="18" charset="0"/>
              <a:cs typeface="Times New Roman" panose="02020603050405020304" pitchFamily="18" charset="0"/>
            </a:rPr>
            <a:t>kjkjjk</a:t>
          </a:r>
        </a:p>
      </xdr:txBody>
    </xdr:sp>
    <xdr:clientData/>
  </xdr:twoCellAnchor>
  <xdr:twoCellAnchor>
    <xdr:from>
      <xdr:col>1</xdr:col>
      <xdr:colOff>685800</xdr:colOff>
      <xdr:row>7</xdr:row>
      <xdr:rowOff>200025</xdr:rowOff>
    </xdr:from>
    <xdr:to>
      <xdr:col>2</xdr:col>
      <xdr:colOff>685800</xdr:colOff>
      <xdr:row>8</xdr:row>
      <xdr:rowOff>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1295400" y="2143125"/>
          <a:ext cx="695325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900">
              <a:latin typeface="Times New Roman" panose="02020603050405020304" pitchFamily="18" charset="0"/>
              <a:cs typeface="Times New Roman" panose="02020603050405020304" pitchFamily="18" charset="0"/>
            </a:rPr>
            <a:t>kjkjjk</a:t>
          </a:r>
        </a:p>
      </xdr:txBody>
    </xdr:sp>
    <xdr:clientData/>
  </xdr:twoCellAnchor>
  <xdr:twoCellAnchor>
    <xdr:from>
      <xdr:col>2</xdr:col>
      <xdr:colOff>685800</xdr:colOff>
      <xdr:row>7</xdr:row>
      <xdr:rowOff>200025</xdr:rowOff>
    </xdr:from>
    <xdr:to>
      <xdr:col>3</xdr:col>
      <xdr:colOff>685800</xdr:colOff>
      <xdr:row>8</xdr:row>
      <xdr:rowOff>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1990725" y="2143125"/>
          <a:ext cx="695325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900">
              <a:latin typeface="Times New Roman" panose="02020603050405020304" pitchFamily="18" charset="0"/>
              <a:cs typeface="Times New Roman" panose="02020603050405020304" pitchFamily="18" charset="0"/>
            </a:rPr>
            <a:t>kjkjjk</a:t>
          </a:r>
        </a:p>
      </xdr:txBody>
    </xdr:sp>
    <xdr:clientData/>
  </xdr:twoCellAnchor>
  <xdr:twoCellAnchor>
    <xdr:from>
      <xdr:col>3</xdr:col>
      <xdr:colOff>685800</xdr:colOff>
      <xdr:row>7</xdr:row>
      <xdr:rowOff>190500</xdr:rowOff>
    </xdr:from>
    <xdr:to>
      <xdr:col>4</xdr:col>
      <xdr:colOff>685800</xdr:colOff>
      <xdr:row>7</xdr:row>
      <xdr:rowOff>619125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2686050" y="2133600"/>
          <a:ext cx="695325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900">
              <a:latin typeface="Times New Roman" panose="02020603050405020304" pitchFamily="18" charset="0"/>
              <a:cs typeface="Times New Roman" panose="02020603050405020304" pitchFamily="18" charset="0"/>
            </a:rPr>
            <a:t>kjkjjk</a:t>
          </a:r>
        </a:p>
      </xdr:txBody>
    </xdr:sp>
    <xdr:clientData/>
  </xdr:twoCellAnchor>
  <xdr:twoCellAnchor>
    <xdr:from>
      <xdr:col>3</xdr:col>
      <xdr:colOff>523875</xdr:colOff>
      <xdr:row>13</xdr:row>
      <xdr:rowOff>66675</xdr:rowOff>
    </xdr:from>
    <xdr:to>
      <xdr:col>4</xdr:col>
      <xdr:colOff>247650</xdr:colOff>
      <xdr:row>18</xdr:row>
      <xdr:rowOff>142875</xdr:rowOff>
    </xdr:to>
    <xdr:sp macro="[0]!Random_Text" textlink="">
      <xdr:nvSpPr>
        <xdr:cNvPr id="14" name="Oval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229225" y="5343525"/>
          <a:ext cx="1771650" cy="10287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17</xdr:row>
          <xdr:rowOff>19050</xdr:rowOff>
        </xdr:from>
        <xdr:to>
          <xdr:col>6</xdr:col>
          <xdr:colOff>657225</xdr:colOff>
          <xdr:row>22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Event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561975</xdr:colOff>
          <xdr:row>3</xdr:row>
          <xdr:rowOff>142875</xdr:rowOff>
        </xdr:from>
        <xdr:to>
          <xdr:col>11</xdr:col>
          <xdr:colOff>371475</xdr:colOff>
          <xdr:row>8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10</xdr:row>
          <xdr:rowOff>180975</xdr:rowOff>
        </xdr:from>
        <xdr:to>
          <xdr:col>11</xdr:col>
          <xdr:colOff>361950</xdr:colOff>
          <xdr:row>15</xdr:row>
          <xdr:rowOff>47625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 Events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51D57-6493-4751-81B5-47C2784E4913}">
  <sheetPr codeName="Sheet1"/>
  <dimension ref="A1:N21"/>
  <sheetViews>
    <sheetView workbookViewId="0">
      <selection activeCell="C10" sqref="C10"/>
    </sheetView>
  </sheetViews>
  <sheetFormatPr defaultColWidth="8.85546875" defaultRowHeight="15" x14ac:dyDescent="0.25"/>
  <cols>
    <col min="1" max="1" width="24.42578125" customWidth="1"/>
    <col min="2" max="2" width="20.140625" bestFit="1" customWidth="1"/>
    <col min="3" max="3" width="28.28515625" bestFit="1" customWidth="1"/>
    <col min="4" max="4" width="34.7109375" bestFit="1" customWidth="1"/>
    <col min="5" max="5" width="11.140625" bestFit="1" customWidth="1"/>
  </cols>
  <sheetData>
    <row r="1" spans="1:14" x14ac:dyDescent="0.25">
      <c r="A1" s="1" t="s">
        <v>0</v>
      </c>
      <c r="B1" s="1" t="s">
        <v>18</v>
      </c>
      <c r="C1" s="1" t="s">
        <v>19</v>
      </c>
      <c r="D1" s="1" t="s">
        <v>1</v>
      </c>
      <c r="M1" t="s">
        <v>2</v>
      </c>
      <c r="N1" t="s">
        <v>3</v>
      </c>
    </row>
    <row r="2" spans="1:14" x14ac:dyDescent="0.25">
      <c r="A2" t="s">
        <v>6</v>
      </c>
      <c r="B2">
        <v>4</v>
      </c>
      <c r="C2">
        <v>8</v>
      </c>
      <c r="D2" t="s">
        <v>39</v>
      </c>
      <c r="N2" t="s">
        <v>4</v>
      </c>
    </row>
    <row r="4" spans="1:14" x14ac:dyDescent="0.25">
      <c r="E4" s="1"/>
    </row>
    <row r="21" spans="4:4" x14ac:dyDescent="0.25">
      <c r="D21" t="s">
        <v>21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28575</xdr:colOff>
                    <xdr:row>2</xdr:row>
                    <xdr:rowOff>28575</xdr:rowOff>
                  </from>
                  <to>
                    <xdr:col>10</xdr:col>
                    <xdr:colOff>47625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ClusteredBarChart">
                <anchor moveWithCells="1" sizeWithCells="1">
                  <from>
                    <xdr:col>7</xdr:col>
                    <xdr:colOff>28575</xdr:colOff>
                    <xdr:row>6</xdr:row>
                    <xdr:rowOff>9525</xdr:rowOff>
                  </from>
                  <to>
                    <xdr:col>9</xdr:col>
                    <xdr:colOff>600075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EE04B-4DBD-49BB-9222-CEE81DDFC9F8}">
  <sheetPr codeName="Sheet2"/>
  <dimension ref="B2:H12"/>
  <sheetViews>
    <sheetView topLeftCell="A8" workbookViewId="0">
      <selection activeCell="G20" sqref="G20"/>
    </sheetView>
  </sheetViews>
  <sheetFormatPr defaultRowHeight="15" x14ac:dyDescent="0.25"/>
  <cols>
    <col min="2" max="8" width="30.7109375" customWidth="1"/>
  </cols>
  <sheetData>
    <row r="2" spans="2:8" x14ac:dyDescent="0.25">
      <c r="B2" t="s">
        <v>22</v>
      </c>
      <c r="C2">
        <v>2024</v>
      </c>
      <c r="E2" s="2">
        <f>DATE(C2,C3,1)</f>
        <v>45444</v>
      </c>
    </row>
    <row r="3" spans="2:8" x14ac:dyDescent="0.25">
      <c r="B3" t="s">
        <v>23</v>
      </c>
      <c r="C3">
        <v>6</v>
      </c>
    </row>
    <row r="5" spans="2:8" ht="27.75" customHeight="1" x14ac:dyDescent="0.5">
      <c r="B5" s="10" t="str">
        <f>TEXT(DATE(C2,C3,1),"mmmm")&amp;" "&amp;C2</f>
        <v>June 2024</v>
      </c>
      <c r="C5" s="10"/>
      <c r="D5" s="10"/>
      <c r="E5" s="10"/>
      <c r="F5" s="10"/>
      <c r="G5" s="10"/>
      <c r="H5" s="10"/>
    </row>
    <row r="6" spans="2:8" ht="15.75" x14ac:dyDescent="0.25">
      <c r="B6" s="3" t="s">
        <v>24</v>
      </c>
      <c r="C6" s="3" t="s">
        <v>25</v>
      </c>
      <c r="D6" s="3" t="s">
        <v>26</v>
      </c>
      <c r="E6" s="3" t="s">
        <v>27</v>
      </c>
      <c r="F6" s="3" t="s">
        <v>28</v>
      </c>
      <c r="G6" s="3" t="s">
        <v>29</v>
      </c>
      <c r="H6" s="3" t="s">
        <v>30</v>
      </c>
    </row>
    <row r="7" spans="2:8" ht="50.1" customHeight="1" x14ac:dyDescent="0.25">
      <c r="B7" s="5">
        <f>DATE(C2,C3,1)-WEEKDAY(DATE(C2,C3,1),1)+1</f>
        <v>45438</v>
      </c>
      <c r="C7" s="4">
        <f>B7+1</f>
        <v>45439</v>
      </c>
      <c r="D7" s="4">
        <f t="shared" ref="C7:H8" si="0">C7+1</f>
        <v>45440</v>
      </c>
      <c r="E7" s="4">
        <f t="shared" si="0"/>
        <v>45441</v>
      </c>
      <c r="F7" s="4">
        <f t="shared" si="0"/>
        <v>45442</v>
      </c>
      <c r="G7" s="4">
        <f t="shared" si="0"/>
        <v>45443</v>
      </c>
      <c r="H7" s="5">
        <f t="shared" si="0"/>
        <v>45444</v>
      </c>
    </row>
    <row r="8" spans="2:8" ht="50.1" customHeight="1" x14ac:dyDescent="0.25">
      <c r="B8" s="5">
        <f>H7+1</f>
        <v>45445</v>
      </c>
      <c r="C8" s="4">
        <f t="shared" si="0"/>
        <v>45446</v>
      </c>
      <c r="D8" s="4">
        <f t="shared" si="0"/>
        <v>45447</v>
      </c>
      <c r="E8" s="4">
        <f t="shared" si="0"/>
        <v>45448</v>
      </c>
      <c r="F8" s="4">
        <f t="shared" si="0"/>
        <v>45449</v>
      </c>
      <c r="G8" s="4">
        <f t="shared" si="0"/>
        <v>45450</v>
      </c>
      <c r="H8" s="5">
        <f t="shared" si="0"/>
        <v>45451</v>
      </c>
    </row>
    <row r="9" spans="2:8" ht="50.1" customHeight="1" x14ac:dyDescent="0.25">
      <c r="B9" s="5">
        <f>H8+1</f>
        <v>45452</v>
      </c>
      <c r="C9" s="4">
        <f t="shared" ref="C9:H12" si="1">B9+1</f>
        <v>45453</v>
      </c>
      <c r="D9" s="4">
        <f t="shared" si="1"/>
        <v>45454</v>
      </c>
      <c r="E9" s="4">
        <f t="shared" si="1"/>
        <v>45455</v>
      </c>
      <c r="F9" s="4">
        <f t="shared" si="1"/>
        <v>45456</v>
      </c>
      <c r="G9" s="4">
        <f t="shared" si="1"/>
        <v>45457</v>
      </c>
      <c r="H9" s="5">
        <f t="shared" si="1"/>
        <v>45458</v>
      </c>
    </row>
    <row r="10" spans="2:8" ht="50.1" customHeight="1" x14ac:dyDescent="0.25">
      <c r="B10" s="5">
        <f>H9+1</f>
        <v>45459</v>
      </c>
      <c r="C10" s="4">
        <f t="shared" si="1"/>
        <v>45460</v>
      </c>
      <c r="D10" s="4">
        <f t="shared" si="1"/>
        <v>45461</v>
      </c>
      <c r="E10" s="4">
        <f t="shared" si="1"/>
        <v>45462</v>
      </c>
      <c r="F10" s="4">
        <f t="shared" si="1"/>
        <v>45463</v>
      </c>
      <c r="G10" s="4">
        <f t="shared" si="1"/>
        <v>45464</v>
      </c>
      <c r="H10" s="5">
        <f t="shared" si="1"/>
        <v>45465</v>
      </c>
    </row>
    <row r="11" spans="2:8" ht="50.1" customHeight="1" x14ac:dyDescent="0.25">
      <c r="B11" s="5">
        <f>H10+1</f>
        <v>45466</v>
      </c>
      <c r="C11" s="4">
        <f t="shared" si="1"/>
        <v>45467</v>
      </c>
      <c r="D11" s="4">
        <f t="shared" si="1"/>
        <v>45468</v>
      </c>
      <c r="E11" s="4">
        <f t="shared" si="1"/>
        <v>45469</v>
      </c>
      <c r="F11" s="4">
        <f t="shared" si="1"/>
        <v>45470</v>
      </c>
      <c r="G11" s="4">
        <f t="shared" si="1"/>
        <v>45471</v>
      </c>
      <c r="H11" s="5">
        <f t="shared" si="1"/>
        <v>45472</v>
      </c>
    </row>
    <row r="12" spans="2:8" ht="50.1" customHeight="1" x14ac:dyDescent="0.25">
      <c r="B12" s="5">
        <f>H11+1</f>
        <v>45473</v>
      </c>
      <c r="C12" s="4">
        <f t="shared" si="1"/>
        <v>45474</v>
      </c>
      <c r="D12" s="4">
        <f t="shared" si="1"/>
        <v>45475</v>
      </c>
      <c r="E12" s="4">
        <f t="shared" si="1"/>
        <v>45476</v>
      </c>
      <c r="F12" s="4">
        <f t="shared" si="1"/>
        <v>45477</v>
      </c>
      <c r="G12" s="4">
        <f t="shared" si="1"/>
        <v>45478</v>
      </c>
      <c r="H12" s="5">
        <f t="shared" si="1"/>
        <v>45479</v>
      </c>
    </row>
  </sheetData>
  <mergeCells count="1">
    <mergeCell ref="B5:H5"/>
  </mergeCells>
  <conditionalFormatting sqref="B7:H12">
    <cfRule type="expression" dxfId="0" priority="1">
      <formula>MONTH(B7)&lt;&gt;$C$3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 sizeWithCells="1">
                  <from>
                    <xdr:col>5</xdr:col>
                    <xdr:colOff>314325</xdr:colOff>
                    <xdr:row>17</xdr:row>
                    <xdr:rowOff>19050</xdr:rowOff>
                  </from>
                  <to>
                    <xdr:col>6</xdr:col>
                    <xdr:colOff>657225</xdr:colOff>
                    <xdr:row>22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64AB4-3A03-41A4-A0EF-FDBFCB92B439}">
  <sheetPr codeName="Sheet3"/>
  <dimension ref="A1:F5"/>
  <sheetViews>
    <sheetView tabSelected="1" workbookViewId="0">
      <selection activeCell="F34" sqref="F34"/>
    </sheetView>
  </sheetViews>
  <sheetFormatPr defaultRowHeight="15" x14ac:dyDescent="0.25"/>
  <cols>
    <col min="1" max="1" width="24.28515625" bestFit="1" customWidth="1"/>
    <col min="2" max="2" width="18" bestFit="1" customWidth="1"/>
    <col min="4" max="4" width="14.140625" bestFit="1" customWidth="1"/>
    <col min="5" max="5" width="21.140625" bestFit="1" customWidth="1"/>
    <col min="7" max="7" width="16.5703125" bestFit="1" customWidth="1"/>
    <col min="8" max="8" width="10.7109375" bestFit="1" customWidth="1"/>
    <col min="9" max="9" width="13.5703125" bestFit="1" customWidth="1"/>
    <col min="10" max="10" width="14" bestFit="1" customWidth="1"/>
  </cols>
  <sheetData>
    <row r="1" spans="1:6" ht="18.75" x14ac:dyDescent="0.3">
      <c r="A1" s="7" t="s">
        <v>31</v>
      </c>
      <c r="B1" s="7" t="s">
        <v>32</v>
      </c>
      <c r="C1" s="6"/>
      <c r="D1" s="7" t="s">
        <v>0</v>
      </c>
      <c r="E1" s="7" t="s">
        <v>33</v>
      </c>
      <c r="F1" s="6"/>
    </row>
    <row r="2" spans="1:6" x14ac:dyDescent="0.25">
      <c r="A2" t="s">
        <v>34</v>
      </c>
      <c r="B2">
        <v>1</v>
      </c>
      <c r="D2" t="s">
        <v>11</v>
      </c>
      <c r="E2">
        <v>8</v>
      </c>
    </row>
    <row r="3" spans="1:6" x14ac:dyDescent="0.25">
      <c r="A3" t="s">
        <v>36</v>
      </c>
      <c r="B3">
        <v>4</v>
      </c>
      <c r="D3" t="s">
        <v>37</v>
      </c>
      <c r="E3">
        <v>1</v>
      </c>
    </row>
    <row r="4" spans="1:6" x14ac:dyDescent="0.25">
      <c r="A4" t="s">
        <v>38</v>
      </c>
      <c r="B4">
        <v>1</v>
      </c>
      <c r="D4" t="s">
        <v>6</v>
      </c>
      <c r="E4">
        <v>5</v>
      </c>
    </row>
    <row r="5" spans="1:6" x14ac:dyDescent="0.25">
      <c r="D5" t="s">
        <v>12</v>
      </c>
      <c r="E5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35D03-B20D-4F54-9956-BAFF3F69586A}">
  <sheetPr codeName="Sheet5"/>
  <dimension ref="A1:E3"/>
  <sheetViews>
    <sheetView workbookViewId="0">
      <selection activeCell="O17" sqref="O17"/>
    </sheetView>
  </sheetViews>
  <sheetFormatPr defaultRowHeight="15" x14ac:dyDescent="0.25"/>
  <cols>
    <col min="1" max="1" width="11.85546875" bestFit="1" customWidth="1"/>
    <col min="2" max="2" width="17" bestFit="1" customWidth="1"/>
    <col min="3" max="3" width="11.85546875" bestFit="1" customWidth="1"/>
    <col min="4" max="4" width="12.42578125" bestFit="1" customWidth="1"/>
    <col min="5" max="5" width="12.28515625" bestFit="1" customWidth="1"/>
  </cols>
  <sheetData>
    <row r="1" spans="1:5" ht="18.75" x14ac:dyDescent="0.3">
      <c r="A1" s="7" t="s">
        <v>40</v>
      </c>
      <c r="B1" s="7" t="s">
        <v>32</v>
      </c>
      <c r="C1" s="7" t="s">
        <v>41</v>
      </c>
      <c r="D1" s="7" t="s">
        <v>42</v>
      </c>
      <c r="E1" s="7" t="s">
        <v>43</v>
      </c>
    </row>
    <row r="2" spans="1:5" x14ac:dyDescent="0.25">
      <c r="A2" t="s">
        <v>35</v>
      </c>
      <c r="B2">
        <v>1</v>
      </c>
      <c r="C2" t="b">
        <v>1</v>
      </c>
      <c r="D2" s="8">
        <v>0.57291666666666663</v>
      </c>
      <c r="E2" s="9">
        <v>45611</v>
      </c>
    </row>
    <row r="3" spans="1:5" x14ac:dyDescent="0.25">
      <c r="A3" t="s">
        <v>44</v>
      </c>
      <c r="B3">
        <v>3</v>
      </c>
      <c r="C3" t="b">
        <v>0</v>
      </c>
      <c r="D3" s="8">
        <v>0.57291666666666663</v>
      </c>
      <c r="E3" s="9" t="s">
        <v>45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owEventCreator">
                <anchor moveWithCells="1" sizeWithCells="1">
                  <from>
                    <xdr:col>8</xdr:col>
                    <xdr:colOff>561975</xdr:colOff>
                    <xdr:row>3</xdr:row>
                    <xdr:rowOff>142875</xdr:rowOff>
                  </from>
                  <to>
                    <xdr:col>11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AllEvents">
                <anchor moveWithCells="1" sizeWithCells="1">
                  <from>
                    <xdr:col>9</xdr:col>
                    <xdr:colOff>0</xdr:colOff>
                    <xdr:row>10</xdr:row>
                    <xdr:rowOff>180975</xdr:rowOff>
                  </from>
                  <to>
                    <xdr:col>11</xdr:col>
                    <xdr:colOff>361950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184CF-DDA3-4736-9CC8-B184C6E68FCC}">
  <sheetPr codeName="Sheet6"/>
  <dimension ref="A1:H7"/>
  <sheetViews>
    <sheetView workbookViewId="0">
      <selection activeCell="B8" sqref="B8"/>
    </sheetView>
  </sheetViews>
  <sheetFormatPr defaultColWidth="8.85546875" defaultRowHeight="15" x14ac:dyDescent="0.25"/>
  <cols>
    <col min="1" max="1" width="14" bestFit="1" customWidth="1"/>
    <col min="2" max="2" width="32.85546875" bestFit="1" customWidth="1"/>
  </cols>
  <sheetData>
    <row r="1" spans="1:8" x14ac:dyDescent="0.25">
      <c r="A1" s="1" t="s">
        <v>0</v>
      </c>
      <c r="B1" s="1" t="s">
        <v>5</v>
      </c>
    </row>
    <row r="2" spans="1:8" x14ac:dyDescent="0.25">
      <c r="A2" t="s">
        <v>8</v>
      </c>
      <c r="B2">
        <v>5</v>
      </c>
      <c r="G2" t="s">
        <v>7</v>
      </c>
      <c r="H2" t="s">
        <v>20</v>
      </c>
    </row>
    <row r="3" spans="1:8" x14ac:dyDescent="0.25">
      <c r="A3" t="s">
        <v>6</v>
      </c>
      <c r="B3">
        <v>8</v>
      </c>
      <c r="H3" t="s">
        <v>9</v>
      </c>
    </row>
    <row r="4" spans="1:8" x14ac:dyDescent="0.25">
      <c r="A4" t="s">
        <v>10</v>
      </c>
      <c r="B4">
        <v>1</v>
      </c>
    </row>
    <row r="5" spans="1:8" x14ac:dyDescent="0.25">
      <c r="A5" t="s">
        <v>11</v>
      </c>
      <c r="B5">
        <v>8</v>
      </c>
    </row>
    <row r="6" spans="1:8" x14ac:dyDescent="0.25">
      <c r="A6" t="s">
        <v>12</v>
      </c>
      <c r="B6">
        <v>1</v>
      </c>
    </row>
    <row r="7" spans="1:8" x14ac:dyDescent="0.25">
      <c r="A7" t="s">
        <v>13</v>
      </c>
      <c r="B7">
        <f>(24)-SUM(B2:B6)</f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482CD-AF01-42FD-B1E9-3777E33C5274}">
  <sheetPr codeName="Sheet4"/>
  <dimension ref="B21:J29"/>
  <sheetViews>
    <sheetView workbookViewId="0">
      <selection activeCell="K21" sqref="K21"/>
    </sheetView>
  </sheetViews>
  <sheetFormatPr defaultColWidth="8.85546875" defaultRowHeight="15" x14ac:dyDescent="0.25"/>
  <sheetData>
    <row r="21" spans="2:10" x14ac:dyDescent="0.25">
      <c r="J21" t="s">
        <v>21</v>
      </c>
    </row>
    <row r="26" spans="2:10" x14ac:dyDescent="0.25">
      <c r="B26" s="1" t="s">
        <v>7</v>
      </c>
      <c r="C26" t="s">
        <v>14</v>
      </c>
    </row>
    <row r="27" spans="2:10" x14ac:dyDescent="0.25">
      <c r="C27" t="s">
        <v>15</v>
      </c>
    </row>
    <row r="28" spans="2:10" x14ac:dyDescent="0.25">
      <c r="C28" t="s">
        <v>16</v>
      </c>
    </row>
    <row r="29" spans="2:10" x14ac:dyDescent="0.25">
      <c r="C29" t="s">
        <v>17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05EFFFDA9C644486FCCB58A8EA5354" ma:contentTypeVersion="10" ma:contentTypeDescription="Create a new document." ma:contentTypeScope="" ma:versionID="e27858f8a0408ae4ffb6ee96cf8a22bd">
  <xsd:schema xmlns:xsd="http://www.w3.org/2001/XMLSchema" xmlns:xs="http://www.w3.org/2001/XMLSchema" xmlns:p="http://schemas.microsoft.com/office/2006/metadata/properties" xmlns:ns2="9ad7a586-468b-408f-bee0-f7f70b225374" targetNamespace="http://schemas.microsoft.com/office/2006/metadata/properties" ma:root="true" ma:fieldsID="ebfca3b52ef0bbda068d087c0f624027" ns2:_="">
    <xsd:import namespace="9ad7a586-468b-408f-bee0-f7f70b2253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d7a586-468b-408f-bee0-f7f70b2253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4D9AE93-A613-477E-ABBD-50BC73D3B24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A288FEB-94BA-4977-82AB-68C7BFC6BB0B}">
  <ds:schemaRefs>
    <ds:schemaRef ds:uri="http://www.w3.org/XML/1998/namespace"/>
    <ds:schemaRef ds:uri="http://schemas.microsoft.com/office/2006/documentManagement/types"/>
    <ds:schemaRef ds:uri="http://purl.org/dc/terms/"/>
    <ds:schemaRef ds:uri="9ad7a586-468b-408f-bee0-f7f70b225374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36A186FE-696F-4472-83A7-0D162CAD43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d7a586-468b-408f-bee0-f7f70b2253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Time Spending Input</vt:lpstr>
      <vt:lpstr>DashBoard </vt:lpstr>
      <vt:lpstr>Preferences</vt:lpstr>
      <vt:lpstr>Events</vt:lpstr>
      <vt:lpstr>LookupList</vt:lpstr>
      <vt:lpstr>Output</vt:lpstr>
      <vt:lpstr>TimeList</vt:lpstr>
    </vt:vector>
  </TitlesOfParts>
  <Manager/>
  <Company>University of Waterloo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Cuthbert Liaw</dc:creator>
  <cp:keywords/>
  <dc:description/>
  <cp:lastModifiedBy>Evan He</cp:lastModifiedBy>
  <cp:revision/>
  <dcterms:created xsi:type="dcterms:W3CDTF">2021-10-26T04:32:41Z</dcterms:created>
  <dcterms:modified xsi:type="dcterms:W3CDTF">2024-11-16T03:35:08Z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0x010100A405EFFFDA9C644486FCCB58A8EA5354</vt:lpwstr>
  </property>
</Properties>
</file>