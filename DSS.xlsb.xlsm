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pice\OneDrive\Documents\GitHub\dss\"/>
    </mc:Choice>
  </mc:AlternateContent>
  <xr:revisionPtr revIDLastSave="0" documentId="13_ncr:1_{802EBB42-4293-43AD-9FFA-30E82A7A097A}" xr6:coauthVersionLast="47" xr6:coauthVersionMax="47" xr10:uidLastSave="{00000000-0000-0000-0000-000000000000}"/>
  <bookViews>
    <workbookView xWindow="-120" yWindow="-120" windowWidth="29040" windowHeight="15720" activeTab="3" xr2:uid="{544E4681-173E-494E-8393-01870AE6809A}"/>
  </bookViews>
  <sheets>
    <sheet name="Time Spending Input" sheetId="1" r:id="rId1"/>
    <sheet name="DashBoard " sheetId="7" r:id="rId2"/>
    <sheet name="Preferences" sheetId="8" r:id="rId3"/>
    <sheet name="Events" sheetId="9" r:id="rId4"/>
    <sheet name="LookupList" sheetId="6" r:id="rId5"/>
    <sheet name="Output" sheetId="4" r:id="rId6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7" l="1"/>
  <c r="C7" i="7" s="1"/>
  <c r="D7" i="7" s="1"/>
  <c r="E7" i="7" s="1"/>
  <c r="F7" i="7" s="1"/>
  <c r="G7" i="7" s="1"/>
  <c r="H7" i="7" s="1"/>
  <c r="B5" i="7"/>
  <c r="E2" i="7"/>
  <c r="B7" i="6"/>
  <c r="B8" i="7" l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  <c r="B11" i="7" s="1"/>
  <c r="C11" i="7" s="1"/>
  <c r="D11" i="7" s="1"/>
  <c r="E11" i="7" s="1"/>
  <c r="F11" i="7" s="1"/>
  <c r="G11" i="7" s="1"/>
  <c r="H11" i="7" s="1"/>
  <c r="B12" i="7" s="1"/>
  <c r="C12" i="7" s="1"/>
  <c r="D12" i="7" s="1"/>
  <c r="E12" i="7" s="1"/>
  <c r="F12" i="7" s="1"/>
  <c r="G12" i="7" s="1"/>
  <c r="H12" i="7" s="1"/>
</calcChain>
</file>

<file path=xl/sharedStrings.xml><?xml version="1.0" encoding="utf-8"?>
<sst xmlns="http://schemas.openxmlformats.org/spreadsheetml/2006/main" count="64" uniqueCount="53">
  <si>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</si>
  <si>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</si>
  <si>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</si>
  <si>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</si>
  <si>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</si>
  <si>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</si>
  <si>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</si>
  <si>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</si>
  <si>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</si>
  <si>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</si>
  <si>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</si>
  <si>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</si>
  <si>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</si>
  <si>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</si>
  <si>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</si>
  <si>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</si>
  <si>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</si>
  <si>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</si>
  <si>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</si>
  <si>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</si>
  <si>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</si>
  <si>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</si>
  <si>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Year</t>
  </si>
  <si>
    <t>Month</t>
  </si>
  <si>
    <t>S</t>
  </si>
  <si>
    <t>M</t>
  </si>
  <si>
    <t>T</t>
  </si>
  <si>
    <t>W</t>
  </si>
  <si>
    <t>Th</t>
  </si>
  <si>
    <t>F</t>
  </si>
  <si>
    <t>Sa</t>
  </si>
  <si>
    <t>Info</t>
  </si>
  <si>
    <t>Length (Hours)</t>
  </si>
  <si>
    <t>Time (Hours/Day)</t>
  </si>
  <si>
    <t>Date</t>
  </si>
  <si>
    <t>Reoccuring</t>
  </si>
  <si>
    <t xml:space="preserve">Min Study Session Length </t>
  </si>
  <si>
    <t>Badminton</t>
  </si>
  <si>
    <t>11/16/2024</t>
  </si>
  <si>
    <t>Max Study Session Length</t>
  </si>
  <si>
    <t>Transportation</t>
  </si>
  <si>
    <t>Baby sitting</t>
  </si>
  <si>
    <t>11/18/2024</t>
  </si>
  <si>
    <t>Ideal Break Length</t>
  </si>
  <si>
    <t>Soccer</t>
  </si>
  <si>
    <t>11/19/2024</t>
  </si>
  <si>
    <t>I skipped MSE100</t>
  </si>
  <si>
    <t>Event</t>
  </si>
  <si>
    <t>Recurring</t>
  </si>
  <si>
    <t>Start Time</t>
  </si>
  <si>
    <t>Start Date</t>
  </si>
  <si>
    <t>Baby Sitting</t>
  </si>
  <si>
    <t>2024-13-15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</si>
</sst>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vertical="top"/>
    </xf>
    <xf numFmtId="164" fontId="4" fillId="0" borderId="1" xfId="0" applyNumberFormat="1" applyFont="1" applyBorder="1" applyAlignment="1">
      <alignment vertical="top"/>
    </xf>
    <xf numFmtId="0" fontId="5" fillId="0" borderId="0" xfId="0" applyFont="1"/>
    <xf numFmtId="0" fontId="5" fillId="3" borderId="0" xfId="0" applyFont="1" applyFill="1"/>
    <xf numFmtId="0" fontId="2" fillId="2" borderId="1" xfId="0" applyFont="1" applyFill="1" applyBorder="1" applyAlignment="1">
      <alignment horizontal="center"/>
    </xf>
    <xf numFmtId="2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</xdr:row>
      <xdr:rowOff>180975</xdr:rowOff>
    </xdr:from>
    <xdr:to>
      <xdr:col>1</xdr:col>
      <xdr:colOff>695324</xdr:colOff>
      <xdr:row>6</xdr:row>
      <xdr:rowOff>609600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49" y="1495425"/>
          <a:ext cx="6762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9525</xdr:colOff>
      <xdr:row>6</xdr:row>
      <xdr:rowOff>190500</xdr:rowOff>
    </xdr:from>
    <xdr:to>
      <xdr:col>4</xdr:col>
      <xdr:colOff>0</xdr:colOff>
      <xdr:row>7</xdr:row>
      <xdr:rowOff>9525</xdr:rowOff>
    </xdr:to>
    <xdr:sp macro="" textlink="$C$2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09775" y="1504950"/>
          <a:ext cx="685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0AC6FE-0A43-473C-9FE6-7038E0DD4D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9524</xdr:colOff>
      <xdr:row>6</xdr:row>
      <xdr:rowOff>180975</xdr:rowOff>
    </xdr:from>
    <xdr:to>
      <xdr:col>5</xdr:col>
      <xdr:colOff>9524</xdr:colOff>
      <xdr:row>7</xdr:row>
      <xdr:rowOff>0</xdr:rowOff>
    </xdr:to>
    <xdr:sp macro="" textlink="$E$2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705099" y="1495425"/>
          <a:ext cx="6953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F81B33-69CF-44C7-AD68-992CBC9CD9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2024-06-01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9524</xdr:colOff>
      <xdr:row>6</xdr:row>
      <xdr:rowOff>200025</xdr:rowOff>
    </xdr:from>
    <xdr:to>
      <xdr:col>5</xdr:col>
      <xdr:colOff>685799</xdr:colOff>
      <xdr:row>6</xdr:row>
      <xdr:rowOff>619124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400424" y="1514475"/>
          <a:ext cx="676275" cy="41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19049</xdr:colOff>
      <xdr:row>6</xdr:row>
      <xdr:rowOff>161925</xdr:rowOff>
    </xdr:from>
    <xdr:to>
      <xdr:col>6</xdr:col>
      <xdr:colOff>19049</xdr:colOff>
      <xdr:row>6</xdr:row>
      <xdr:rowOff>590550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820149" y="1476375"/>
          <a:ext cx="20478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0</xdr:colOff>
      <xdr:row>7</xdr:row>
      <xdr:rowOff>200025</xdr:rowOff>
    </xdr:from>
    <xdr:to>
      <xdr:col>2</xdr:col>
      <xdr:colOff>0</xdr:colOff>
      <xdr:row>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096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685800</xdr:colOff>
      <xdr:row>7</xdr:row>
      <xdr:rowOff>200025</xdr:rowOff>
    </xdr:from>
    <xdr:to>
      <xdr:col>2</xdr:col>
      <xdr:colOff>685800</xdr:colOff>
      <xdr:row>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954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2</xdr:col>
      <xdr:colOff>685800</xdr:colOff>
      <xdr:row>7</xdr:row>
      <xdr:rowOff>200025</xdr:rowOff>
    </xdr:from>
    <xdr:to>
      <xdr:col>3</xdr:col>
      <xdr:colOff>685800</xdr:colOff>
      <xdr:row>8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990725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685800</xdr:colOff>
      <xdr:row>7</xdr:row>
      <xdr:rowOff>190500</xdr:rowOff>
    </xdr:from>
    <xdr:to>
      <xdr:col>4</xdr:col>
      <xdr:colOff>685800</xdr:colOff>
      <xdr:row>7</xdr:row>
      <xdr:rowOff>619125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686050" y="2133600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523875</xdr:colOff>
      <xdr:row>13</xdr:row>
      <xdr:rowOff>66675</xdr:rowOff>
    </xdr:from>
    <xdr:to>
      <xdr:col>4</xdr:col>
      <xdr:colOff>247650</xdr:colOff>
      <xdr:row>18</xdr:row>
      <xdr:rowOff>142875</xdr:rowOff>
    </xdr:to>
    <xdr:sp macro="[0]!Random_Text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229225" y="5343525"/>
          <a:ext cx="1771650" cy="1028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17</xdr:row>
          <xdr:rowOff>19050</xdr:rowOff>
        </xdr:from>
        <xdr:to>
          <xdr:col>6</xdr:col>
          <xdr:colOff>657225</xdr:colOff>
          <xdr:row>22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3</xdr:row>
          <xdr:rowOff>142875</xdr:rowOff>
        </xdr:from>
        <xdr:to>
          <xdr:col>11</xdr:col>
          <xdr:colOff>371475</xdr:colOff>
          <xdr:row>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180975</xdr:rowOff>
        </xdr:from>
        <xdr:to>
          <xdr:col>11</xdr:col>
          <xdr:colOff>361950</xdr:colOff>
          <xdr:row>15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Events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10" sqref="C10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A2" t="s">
        <v>6</v>
      </c>
      <c r="B2">
        <v>4</v>
      </c>
      <c r="C2">
        <v>8</v>
      </c>
      <c r="D2" t="s">
        <v>46</v>
      </c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4B-4DBD-49BB-9222-CEE81DDFC9F8}">
  <sheetPr codeName="Sheet2"/>
  <dimension ref="B2:H12"/>
  <sheetViews>
    <sheetView topLeftCell="A8" workbookViewId="0">
      <selection activeCell="G20" sqref="G20"/>
    </sheetView>
  </sheetViews>
  <sheetFormatPr defaultRowHeight="15" x14ac:dyDescent="0.25"/>
  <cols>
    <col min="2" max="8" width="30.7109375" customWidth="1"/>
  </cols>
  <sheetData>
    <row r="2" spans="2:8" x14ac:dyDescent="0.25">
      <c r="B2" t="s">
        <v>22</v>
      </c>
      <c r="C2">
        <v>2024</v>
      </c>
      <c r="E2" s="2">
        <f>DATE(C2,C3,1)</f>
        <v>45444</v>
      </c>
    </row>
    <row r="3" spans="2:8" x14ac:dyDescent="0.25">
      <c r="B3" t="s">
        <v>23</v>
      </c>
      <c r="C3">
        <v>6</v>
      </c>
    </row>
    <row r="5" spans="2:8" ht="27.75" customHeight="1" x14ac:dyDescent="0.5">
      <c r="B5" s="8" t="str">
        <f>TEXT(DATE(C2,C3,1),"mmmm")&amp;" "&amp;C2</f>
        <v>June 2024</v>
      </c>
      <c r="C5" s="8"/>
      <c r="D5" s="8"/>
      <c r="E5" s="8"/>
      <c r="F5" s="8"/>
      <c r="G5" s="8"/>
      <c r="H5" s="8"/>
    </row>
    <row r="6" spans="2:8" ht="15.75" x14ac:dyDescent="0.25">
      <c r="B6" s="3" t="s">
        <v>24</v>
      </c>
      <c r="C6" s="3" t="s">
        <v>25</v>
      </c>
      <c r="D6" s="3" t="s">
        <v>26</v>
      </c>
      <c r="E6" s="3" t="s">
        <v>27</v>
      </c>
      <c r="F6" s="3" t="s">
        <v>28</v>
      </c>
      <c r="G6" s="3" t="s">
        <v>29</v>
      </c>
      <c r="H6" s="3" t="s">
        <v>30</v>
      </c>
    </row>
    <row r="7" spans="2:8" ht="50.1" customHeight="1" x14ac:dyDescent="0.25">
      <c r="B7" s="5">
        <f>DATE(C2,C3,1)-WEEKDAY(DATE(C2,C3,1),1)+1</f>
        <v>45438</v>
      </c>
      <c r="C7" s="4">
        <f>B7+1</f>
        <v>45439</v>
      </c>
      <c r="D7" s="4">
        <f t="shared" ref="C7:H8" si="0">C7+1</f>
        <v>45440</v>
      </c>
      <c r="E7" s="4">
        <f t="shared" si="0"/>
        <v>45441</v>
      </c>
      <c r="F7" s="4">
        <f t="shared" si="0"/>
        <v>45442</v>
      </c>
      <c r="G7" s="4">
        <f t="shared" si="0"/>
        <v>45443</v>
      </c>
      <c r="H7" s="5">
        <f t="shared" si="0"/>
        <v>45444</v>
      </c>
    </row>
    <row r="8" spans="2:8" ht="50.1" customHeight="1" x14ac:dyDescent="0.25">
      <c r="B8" s="5">
        <f>H7+1</f>
        <v>45445</v>
      </c>
      <c r="C8" s="4">
        <f t="shared" si="0"/>
        <v>45446</v>
      </c>
      <c r="D8" s="4">
        <f t="shared" si="0"/>
        <v>45447</v>
      </c>
      <c r="E8" s="4">
        <f t="shared" si="0"/>
        <v>45448</v>
      </c>
      <c r="F8" s="4">
        <f t="shared" si="0"/>
        <v>45449</v>
      </c>
      <c r="G8" s="4">
        <f t="shared" si="0"/>
        <v>45450</v>
      </c>
      <c r="H8" s="5">
        <f t="shared" si="0"/>
        <v>45451</v>
      </c>
    </row>
    <row r="9" spans="2:8" ht="50.1" customHeight="1" x14ac:dyDescent="0.25">
      <c r="B9" s="5">
        <f>H8+1</f>
        <v>45452</v>
      </c>
      <c r="C9" s="4">
        <f t="shared" ref="C9:H12" si="1">B9+1</f>
        <v>45453</v>
      </c>
      <c r="D9" s="4">
        <f t="shared" si="1"/>
        <v>45454</v>
      </c>
      <c r="E9" s="4">
        <f t="shared" si="1"/>
        <v>45455</v>
      </c>
      <c r="F9" s="4">
        <f t="shared" si="1"/>
        <v>45456</v>
      </c>
      <c r="G9" s="4">
        <f t="shared" si="1"/>
        <v>45457</v>
      </c>
      <c r="H9" s="5">
        <f t="shared" si="1"/>
        <v>45458</v>
      </c>
    </row>
    <row r="10" spans="2:8" ht="50.1" customHeight="1" x14ac:dyDescent="0.25">
      <c r="B10" s="5">
        <f>H9+1</f>
        <v>45459</v>
      </c>
      <c r="C10" s="4">
        <f t="shared" si="1"/>
        <v>45460</v>
      </c>
      <c r="D10" s="4">
        <f t="shared" si="1"/>
        <v>45461</v>
      </c>
      <c r="E10" s="4">
        <f t="shared" si="1"/>
        <v>45462</v>
      </c>
      <c r="F10" s="4">
        <f t="shared" si="1"/>
        <v>45463</v>
      </c>
      <c r="G10" s="4">
        <f t="shared" si="1"/>
        <v>45464</v>
      </c>
      <c r="H10" s="5">
        <f t="shared" si="1"/>
        <v>45465</v>
      </c>
    </row>
    <row r="11" spans="2:8" ht="50.1" customHeight="1" x14ac:dyDescent="0.25">
      <c r="B11" s="5">
        <f>H10+1</f>
        <v>45466</v>
      </c>
      <c r="C11" s="4">
        <f t="shared" si="1"/>
        <v>45467</v>
      </c>
      <c r="D11" s="4">
        <f t="shared" si="1"/>
        <v>45468</v>
      </c>
      <c r="E11" s="4">
        <f t="shared" si="1"/>
        <v>45469</v>
      </c>
      <c r="F11" s="4">
        <f t="shared" si="1"/>
        <v>45470</v>
      </c>
      <c r="G11" s="4">
        <f t="shared" si="1"/>
        <v>45471</v>
      </c>
      <c r="H11" s="5">
        <f t="shared" si="1"/>
        <v>45472</v>
      </c>
    </row>
    <row r="12" spans="2:8" ht="50.1" customHeight="1" x14ac:dyDescent="0.25">
      <c r="B12" s="5">
        <f>H11+1</f>
        <v>45473</v>
      </c>
      <c r="C12" s="4">
        <f t="shared" si="1"/>
        <v>45474</v>
      </c>
      <c r="D12" s="4">
        <f t="shared" si="1"/>
        <v>45475</v>
      </c>
      <c r="E12" s="4">
        <f t="shared" si="1"/>
        <v>45476</v>
      </c>
      <c r="F12" s="4">
        <f t="shared" si="1"/>
        <v>45477</v>
      </c>
      <c r="G12" s="4">
        <f t="shared" si="1"/>
        <v>45478</v>
      </c>
      <c r="H12" s="5">
        <f t="shared" si="1"/>
        <v>45479</v>
      </c>
    </row>
  </sheetData>
  <mergeCells count="1">
    <mergeCell ref="B5:H5"/>
  </mergeCells>
  <conditionalFormatting sqref="B7:H12">
    <cfRule type="expression" dxfId="0" priority="1">
      <formula>MONTH(B7)&lt;&gt;$C$3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17</xdr:row>
                    <xdr:rowOff>19050</xdr:rowOff>
                  </from>
                  <to>
                    <xdr:col>6</xdr:col>
                    <xdr:colOff>657225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AB4-3A03-41A4-A0EF-FDBFCB92B439}">
  <sheetPr codeName="Sheet3"/>
  <dimension ref="A1:I5"/>
  <sheetViews>
    <sheetView workbookViewId="0">
      <selection activeCell="G1" sqref="G1:I4"/>
    </sheetView>
  </sheetViews>
  <sheetFormatPr defaultRowHeight="15" x14ac:dyDescent="0.25"/>
  <cols>
    <col min="1" max="1" width="24.28515625" bestFit="1" customWidth="1"/>
    <col min="2" max="2" width="18" bestFit="1" customWidth="1"/>
    <col min="4" max="4" width="14.140625" bestFit="1" customWidth="1"/>
    <col min="5" max="5" width="21.140625" bestFit="1" customWidth="1"/>
    <col min="7" max="7" width="16.5703125" bestFit="1" customWidth="1"/>
    <col min="8" max="8" width="10.7109375" bestFit="1" customWidth="1"/>
    <col min="9" max="9" width="13.5703125" bestFit="1" customWidth="1"/>
    <col min="10" max="10" width="14" bestFit="1" customWidth="1"/>
  </cols>
  <sheetData>
    <row r="1" spans="1:9" ht="18.75" x14ac:dyDescent="0.3">
      <c r="A1" s="7" t="s">
        <v>31</v>
      </c>
      <c r="B1" s="7" t="s">
        <v>32</v>
      </c>
      <c r="C1" s="6"/>
      <c r="D1" s="7" t="s">
        <v>0</v>
      </c>
      <c r="E1" s="7" t="s">
        <v>33</v>
      </c>
      <c r="F1" s="6"/>
      <c r="G1" s="7" t="s">
        <v>47</v>
      </c>
      <c r="H1" s="7" t="s">
        <v>34</v>
      </c>
      <c r="I1" s="7" t="s">
        <v>35</v>
      </c>
    </row>
    <row r="2" spans="1:9" x14ac:dyDescent="0.25">
      <c r="A2" t="s">
        <v>36</v>
      </c>
      <c r="B2">
        <v>1</v>
      </c>
      <c r="D2" t="s">
        <v>11</v>
      </c>
      <c r="E2">
        <v>8</v>
      </c>
      <c r="G2" t="s">
        <v>37</v>
      </c>
      <c r="H2" t="s">
        <v>38</v>
      </c>
      <c r="I2" t="b">
        <v>1</v>
      </c>
    </row>
    <row r="3" spans="1:9" x14ac:dyDescent="0.25">
      <c r="A3" t="s">
        <v>39</v>
      </c>
      <c r="B3">
        <v>4</v>
      </c>
      <c r="D3" t="s">
        <v>40</v>
      </c>
      <c r="E3">
        <v>1</v>
      </c>
      <c r="G3" t="s">
        <v>41</v>
      </c>
      <c r="H3" t="s">
        <v>42</v>
      </c>
      <c r="I3" t="b">
        <v>0</v>
      </c>
    </row>
    <row r="4" spans="1:9" x14ac:dyDescent="0.25">
      <c r="A4" t="s">
        <v>43</v>
      </c>
      <c r="B4">
        <v>1</v>
      </c>
      <c r="D4" t="s">
        <v>6</v>
      </c>
      <c r="E4">
        <v>5</v>
      </c>
      <c r="G4" t="s">
        <v>44</v>
      </c>
      <c r="H4" t="s">
        <v>45</v>
      </c>
      <c r="I4" t="b">
        <v>1</v>
      </c>
    </row>
    <row r="5" spans="1:9" x14ac:dyDescent="0.25">
      <c r="D5" t="s">
        <v>12</v>
      </c>
      <c r="E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5D03-B20D-4F54-9956-BAFF3F69586A}">
  <sheetPr codeName="Sheet5"/>
  <dimension ref="A1:E3"/>
  <sheetViews>
    <sheetView tabSelected="1" workbookViewId="0">
      <selection activeCell="O17" sqref="O17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1.85546875" bestFit="1" customWidth="1"/>
    <col min="4" max="4" width="12.42578125" bestFit="1" customWidth="1"/>
    <col min="5" max="5" width="12.28515625" bestFit="1" customWidth="1"/>
  </cols>
  <sheetData>
    <row r="1" spans="1:5" ht="18.75" x14ac:dyDescent="0.3">
      <c r="A1" s="7" t="s">
        <v>47</v>
      </c>
      <c r="B1" s="7" t="s">
        <v>32</v>
      </c>
      <c r="C1" s="7" t="s">
        <v>48</v>
      </c>
      <c r="D1" s="7" t="s">
        <v>49</v>
      </c>
      <c r="E1" s="7" t="s">
        <v>50</v>
      </c>
    </row>
    <row r="2" spans="1:5" x14ac:dyDescent="0.25">
      <c r="A2" t="s">
        <v>37</v>
      </c>
      <c r="B2">
        <v>1</v>
      </c>
      <c r="C2" t="b">
        <v>1</v>
      </c>
      <c r="D2" s="9">
        <v>0.57291666666666663</v>
      </c>
      <c r="E2" s="10">
        <v>45611</v>
      </c>
    </row>
    <row r="3" spans="1:5" x14ac:dyDescent="0.25">
      <c r="A3" t="s">
        <v>51</v>
      </c>
      <c r="B3">
        <v>3</v>
      </c>
      <c r="C3" t="b">
        <v>0</v>
      </c>
      <c r="D3" s="9">
        <v>0.57291666666666663</v>
      </c>
      <c r="E3" s="10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EventCreator">
                <anchor moveWithCells="1" sizeWithCells="1">
                  <from>
                    <xdr:col>8</xdr:col>
                    <xdr:colOff>561975</xdr:colOff>
                    <xdr:row>3</xdr:row>
                    <xdr:rowOff>142875</xdr:rowOff>
                  </from>
                  <to>
                    <xdr:col>11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AllEvents">
                <anchor moveWithCells="1" sizeWithCells="1">
                  <from>
                    <xdr:col>9</xdr:col>
                    <xdr:colOff>0</xdr:colOff>
                    <xdr:row>10</xdr:row>
                    <xdr:rowOff>180975</xdr:rowOff>
                  </from>
                  <to>
                    <xdr:col>11</xdr:col>
                    <xdr:colOff>361950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Time Spending Input</vt:lpstr>
      <vt:lpstr>DashBoard </vt:lpstr>
      <vt:lpstr>Preferences</vt:lpstr>
      <vt:lpstr>Events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Evan He</cp:lastModifiedBy>
  <cp:revision/>
  <dcterms:created xsi:type="dcterms:W3CDTF">2021-10-26T04:32:41Z</dcterms:created>
  <dcterms:modified xsi:type="dcterms:W3CDTF">2024-11-16T03:25:06Z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